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e99a1de95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477c426d1b54988"/>
    <x:sheet xmlns:r="http://schemas.openxmlformats.org/officeDocument/2006/relationships" name="新版BOM" sheetId="2" r:id="R44fee7420a784758"/>
    <x:sheet xmlns:r="http://schemas.openxmlformats.org/officeDocument/2006/relationships" name="板级供电" sheetId="3" r:id="R3c96addf8c424cda"/>
    <x:sheet xmlns:r="http://schemas.openxmlformats.org/officeDocument/2006/relationships" name="接口与网表" sheetId="4" r:id="R54ca2dc4f03b4d82"/>
    <x:sheet xmlns:r="http://schemas.openxmlformats.org/officeDocument/2006/relationships" name="变化与质量门禁" sheetId="5" r:id="R951bb7ee383e4c7d"/>
    <x:sheet xmlns:r="http://schemas.openxmlformats.org/officeDocument/2006/relationships" name="数据来源" sheetId="6" r:id="Rf1a407736b0e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26843"/>
      <x:name val="Carlito"/>
    </x:font>
    <x:font>
      <x:sz val="11"/>
      <x:color rgb="FF174C63"/>
      <x:name val="Carlito"/>
    </x:font>
    <x:font>
      <x:b/>
      <x:sz val="11"/>
      <x:color rgb="FF183A5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2B45"/>
      </x:patternFill>
    </x:fill>
    <x:fill>
      <x:patternFill patternType="solid">
        <x:fgColor rgb="FF176B87"/>
      </x:patternFill>
    </x:fill>
    <x:fill>
      <x:patternFill patternType="solid">
        <x:fgColor rgb="FFE8F4EE"/>
      </x:patternFill>
    </x:fill>
    <x:fill>
      <x:patternFill patternType="solid">
        <x:fgColor rgb="FFDFF0F7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0" fontId="0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0" fillId="4" borderId="1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33d5253554cef" /><Relationship Type="http://schemas.openxmlformats.org/officeDocument/2006/relationships/theme" Target="/xl/theme/theme1.xml" Id="Rb2a327ef227f465e" /><Relationship Type="http://schemas.openxmlformats.org/officeDocument/2006/relationships/sharedStrings" Target="/xl/sharedStrings.xml" Id="R2b81b3fbb93241c6" /><Relationship Type="http://schemas.openxmlformats.org/officeDocument/2006/relationships/worksheet" Target="/xl/worksheets/sheet1.xml" Id="R3477c426d1b54988" /><Relationship Type="http://schemas.openxmlformats.org/officeDocument/2006/relationships/worksheet" Target="/xl/worksheets/sheet2.xml" Id="R44fee7420a784758" /><Relationship Type="http://schemas.openxmlformats.org/officeDocument/2006/relationships/worksheet" Target="/xl/worksheets/sheet3.xml" Id="R3c96addf8c424cda" /><Relationship Type="http://schemas.openxmlformats.org/officeDocument/2006/relationships/worksheet" Target="/xl/worksheets/sheet4.xml" Id="R54ca2dc4f03b4d82" /><Relationship Type="http://schemas.openxmlformats.org/officeDocument/2006/relationships/worksheet" Target="/xl/worksheets/sheet5.xml" Id="R951bb7ee383e4c7d" /><Relationship Type="http://schemas.openxmlformats.org/officeDocument/2006/relationships/worksheet" Target="/xl/worksheets/sheet6.xml" Id="Rf1a407736b0e43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90" hidden="0" customWidth="1"/>
  </x:cols>
  <x:sheetData>
    <x:row r="1" ht="27" customHeight="1">
      <x:c r="A1" s="4" t="str">
        <x:v>SonoField-FPGA / v5  ·  AX7020 + NU40C10T 新版硬件BOM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27" t="str">
        <x:v>2026-10-08 | 上、下独立12V阵列电源 | FPGA仅负责数据/相位/时序/采集处理 | 非采购或Gerber发布</x:v>
      </x:c>
      <x:c r="B3" s="27"/>
      <x:c r="C3" s="27"/>
      <x:c r="D3" s="27"/>
      <x:c r="E3" s="27"/>
      <x:c r="F3" s="27"/>
      <x:c r="G3" s="27"/>
      <x:c r="H3" s="27"/>
    </x:row>
    <x:row r="4" ht="32" customHeight="1">
      <x:c r="A4" s="11"/>
      <x:c r="B4" s="11"/>
      <x:c r="C4" s="11"/>
      <x:c r="D4" s="11"/>
      <x:c r="E4" s="11"/>
      <x:c r="F4" s="11"/>
      <x:c r="G4" s="11"/>
      <x:c r="H4" s="11"/>
    </x:row>
    <x:row r="5" ht="42" customHeight="1">
      <x:c r="A5" s="31" t="str">
        <x:v>工程项目</x:v>
      </x:c>
      <x:c r="B5" s="16" t="str">
        <x:v>SONOFIELD_FPGA</x:v>
      </x:c>
      <x:c r="C5" s="16"/>
      <x:c r="D5" s="16"/>
      <x:c r="E5" s="16"/>
      <x:c r="F5" s="16"/>
      <x:c r="G5" s="16"/>
      <x:c r="H5" s="16"/>
    </x:row>
    <x:row r="6" ht="42" customHeight="1">
      <x:c r="A6" s="31" t="str">
        <x:v>正式版本</x:v>
      </x:c>
      <x:c r="B6" s="16" t="str">
        <x:v>v5（已有用户正式授权，不新建版本）</x:v>
      </x:c>
    </x:row>
    <x:row r="7" ht="42" customHeight="1">
      <x:c r="A7" s="31" t="str">
        <x:v>当前仓库</x:v>
      </x:c>
      <x:c r="B7" s="16" t="str">
        <x:v>https://github.com/loverlike1216/SonoField-FPGA</x:v>
      </x:c>
    </x:row>
    <x:row r="8" ht="42" customHeight="1">
      <x:c r="A8" s="31" t="str">
        <x:v>核心平台</x:v>
      </x:c>
      <x:c r="B8" s="16" t="str">
        <x:v>ALINX AX7020 / Vivado 2025.2</x:v>
      </x:c>
    </x:row>
    <x:row r="9" ht="42" customHeight="1">
      <x:c r="A9" s="31" t="str">
        <x:v>阵列规模</x:v>
      </x:c>
      <x:c r="B9" s="16" t="str">
        <x:v>上64 TX + 下64 TX =128 TX; RX各4，总8</x:v>
      </x:c>
    </x:row>
    <x:row r="10" ht="42" customHeight="1">
      <x:c r="A10" s="31" t="str">
        <x:v>换能器</x:v>
      </x:c>
      <x:c r="B10" s="16" t="str">
        <x:v>发射NU40C10T（用户明确）；接收对应型号待确认</x:v>
      </x:c>
    </x:row>
    <x:row r="11" ht="42" customHeight="1">
      <x:c r="A11" s="31" t="str">
        <x:v>供电禁令</x:v>
      </x:c>
      <x:c r="B11" s="16" t="str">
        <x:v>AX7020 J10/J11 的3.3V/5V不得承担阵列/驱动电力</x:v>
      </x:c>
    </x:row>
    <x:row r="12" ht="42" customHeight="1">
      <x:c r="A12" s="31" t="str">
        <x:v>独立电源</x:v>
      </x:c>
      <x:c r="B12" s="16" t="str">
        <x:v>UP_PWR_IN 12V / DN_PWR_IN 12V，各自XT30+保险+eFuse；中央辅助第三支路推荐</x:v>
      </x:c>
    </x:row>
    <x:row r="13" ht="42" customHeight="1">
      <x:c r="A13" s="31" t="str">
        <x:v>驱动电压</x:v>
      </x:c>
      <x:c r="B13" s="16" t="str">
        <x:v>12V仅低风险限流测试起点，不代表NU40C10T的额定值/承诺悬浮</x:v>
      </x:c>
    </x:row>
    <x:row r="14" ht="42" customHeight="1">
      <x:c r="A14" s="31" t="str">
        <x:v>风险</x:v>
      </x:c>
      <x:c r="B14" s="16" t="str">
        <x:v>完整NU40C10T公开原厂规格书尚未核验，不引用16mm器件额定值</x:v>
      </x:c>
    </x:row>
    <x:row r="15" ht="42" customHeight="1">
      <x:c r="A15" s="31" t="str">
        <x:v>历史BOM</x:v>
      </x:c>
      <x:c r="B15" s="16" t="str">
        <x:v>v5/hardware/bom/BOM_MASTER.csv原稿保留；此处为未验证替代建议</x:v>
      </x:c>
    </x:row>
    <x:row r="16" ht="42" customHeight="1">
      <x:c r="A16" s="31" t="str">
        <x:v>禁止事项</x:v>
      </x:c>
      <x:c r="B16" s="16" t="str">
        <x:v>未通过实板rev/VCCO/连接器/时序/电气/热/原理图ERC审查之前，不准Gerber/制作/批量采购</x:v>
      </x:c>
    </x:row>
    <x:row r="17" ht="42" customHeight="1">
      <x:c r="A17" s="31" t="str">
        <x:v>注意</x:v>
      </x:c>
      <x:c r="B17" s="16" t="str">
        <x:v>实装数量=上板+下板+中央+环境+外置，部分“无源套件”只作计数估算，不是可直接导入贴片厂的完整采购BOM</x:v>
      </x:c>
    </x:row>
    <x:row r="18" ht="42" customHeight="1">
      <x:c r="A18" s="16"/>
      <x:c r="B18" s="16"/>
    </x:row>
    <x:row r="19" ht="42" customHeight="1">
      <x:c r="A19" s="16"/>
      <x:c r="B19" s="16"/>
    </x:row>
    <x:row r="20" ht="22" customHeight="1"/>
    <x:row r="21" ht="22" customHeight="1">
      <x:c r="A21" t="str">
        <x:v>工作表导览：新版BOM（含建议采购量）· 板级供电 · 接口与网表 · 变化与质量门禁 · 数据来源</x:v>
      </x:c>
    </x:row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H2"/>
    <x:mergeCell ref="A3:H3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7" hidden="0" customWidth="1"/>
    <x:col min="4" max="4" width="26" hidden="0" customWidth="1"/>
    <x:col min="5" max="5" width="27" hidden="0" customWidth="1"/>
    <x:col min="6" max="6" width="38" hidden="0" customWidth="1"/>
    <x:col min="7" max="7" width="15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6" hidden="0" customWidth="1"/>
    <x:col min="14" max="14" width="15" hidden="0" customWidth="1"/>
    <x:col min="15" max="15" width="10" hidden="0" customWidth="1"/>
    <x:col min="16" max="16" width="23" hidden="0" customWidth="1"/>
    <x:col min="17" max="17" width="27" hidden="0" customWidth="1"/>
    <x:col min="18" max="18" width="41" hidden="0" customWidth="1"/>
    <x:col min="19" max="19" width="23" hidden="0" customWidth="1"/>
    <x:col min="20" max="20" width="39" hidden="0" customWidth="1"/>
    <x:col min="21" max="21" width="39" hidden="0" customWidth="1"/>
  </x:cols>
  <x:sheetData>
    <x:row r="1" ht="27" customHeight="1">
      <x:c r="A1" s="4" t="str">
        <x:v>元器件装机/采购BOM · NU40C10T · 各阵列独立供电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2" customHeight="1">
      <x:c r="A3" t="str">
        <x:v>红色风险=未冻结；N列采购量为建议备料而非订单；主控AX7020为现有开发板，不包含在PCB贴装数量中；无型号的保护/连接器是设计占位项。</x:v>
      </x:c>
    </x:row>
    <x:row r="4" ht="32" customHeight="1">
      <x:c r="A4" s="11" t="str">
        <x:v>编号</x:v>
      </x:c>
      <x:c r="B4" s="11" t="str">
        <x:v>类别</x:v>
      </x:c>
      <x:c r="C4" s="11" t="str">
        <x:v>板卡/位置</x:v>
      </x:c>
      <x:c r="D4" s="11" t="str">
        <x:v>中文名称</x:v>
      </x:c>
      <x:c r="E4" s="11" t="str">
        <x:v>型号 / MPN</x:v>
      </x:c>
      <x:c r="F4" s="11" t="str">
        <x:v>参数 / 约束</x:v>
      </x:c>
      <x:c r="G4" s="11" t="str">
        <x:v>封装</x:v>
      </x:c>
      <x:c r="H4" s="11" t="str">
        <x:v>上阵列</x:v>
      </x:c>
      <x:c r="I4" s="11" t="str">
        <x:v>下阵列</x:v>
      </x:c>
      <x:c r="J4" s="11" t="str">
        <x:v>中央ADC</x:v>
      </x:c>
      <x:c r="K4" s="11" t="str">
        <x:v>环境板</x:v>
      </x:c>
      <x:c r="L4" s="11" t="str">
        <x:v>外置</x:v>
      </x:c>
      <x:c r="M4" s="11" t="str">
        <x:v>装机合计(自动)</x:v>
      </x:c>
      <x:c r="N4" s="11" t="str">
        <x:v>建议采购数量</x:v>
      </x:c>
      <x:c r="O4" s="11" t="str">
        <x:v>优先级</x:v>
      </x:c>
      <x:c r="P4" s="11" t="str">
        <x:v>设计/确认状态</x:v>
      </x:c>
      <x:c r="Q4" s="11" t="str">
        <x:v>作用</x:v>
      </x:c>
      <x:c r="R4" s="11" t="str">
        <x:v>风险/验证要求</x:v>
      </x:c>
      <x:c r="S4" s="11" t="str">
        <x:v>国内采购方向</x:v>
      </x:c>
      <x:c r="T4" s="11" t="str">
        <x:v>资料URL</x:v>
      </x:c>
      <x:c r="U4" s="11" t="str">
        <x:v>工程备注</x:v>
      </x:c>
    </x:row>
    <x:row r="5" ht="43" customHeight="1">
      <x:c r="A5" s="16" t="str">
        <x:v>B-001</x:v>
      </x:c>
      <x:c r="B5" s="16" t="str">
        <x:v>声学</x:v>
      </x:c>
      <x:c r="C5" s="16" t="str">
        <x:v>上下阵列</x:v>
      </x:c>
      <x:c r="D5" s="16" t="str">
        <x:v>40kHz 超声发射换能器</x:v>
      </x:c>
      <x:c r="E5" s="16" t="str">
        <x:v>NU40C10T</x:v>
      </x:c>
      <x:c r="F5" s="16" t="str">
        <x:v>用户锁定发射器型号；供应商完整 datasheet / 焊脚尺寸尚需核实</x:v>
      </x:c>
      <x:c r="G5" s="16" t="str">
        <x:v>THT TBD</x:v>
      </x:c>
      <x:c r="H5" s="20" t="n">
        <x:v>64</x:v>
      </x:c>
      <x:c r="I5" s="20" t="n">
        <x:v>64</x:v>
      </x:c>
      <x:c r="J5" s="20" t="n">
        <x:v>0</x:v>
      </x:c>
      <x:c r="K5" s="20" t="n">
        <x:v>0</x:v>
      </x:c>
      <x:c r="L5" s="20" t="n">
        <x:v>0</x:v>
      </x:c>
      <x:c r="M5" s="23" t="n">
        <x:f>SUM(H5:L5)</x:f>
        <x:v>128</x:v>
      </x:c>
      <x:c r="N5" s="20" t="n">
        <x:v>160</x:v>
      </x:c>
      <x:c r="O5" s="16" t="str">
        <x:v>A</x:v>
      </x:c>
      <x:c r="P5" s="16" t="str">
        <x:v>型号已确认/规格未确认</x:v>
      </x:c>
      <x:c r="Q5" s="16" t="str">
        <x:v>128路发射/声场叠加</x:v>
      </x:c>
      <x:c r="R5" s="16" t="str">
        <x:v>不得借用NU40C16T或TCT40-10T最大电压/管脚尺寸</x:v>
      </x:c>
      <x:c r="S5" s="16" t="str">
        <x:v>购买渠道以用户供应商同批次为主</x:v>
      </x:c>
      <x:c r="T5" s="16" t="str">
        <x:v>https://files.seeedstudio.com/wiki/Grove_Ultrasonic_Ranger/res/NU40C16T-R-1.pdf</x:v>
      </x:c>
      <x:c r="U5" s="16" t="str">
        <x:v>链接仅为16mm系列对照，非10T有效规格书！先测试样品。</x:v>
      </x:c>
    </x:row>
    <x:row r="6" ht="43" customHeight="1">
      <x:c r="A6" s="16" t="str">
        <x:v>B-002</x:v>
      </x:c>
      <x:c r="B6" s="16" t="str">
        <x:v>声学</x:v>
      </x:c>
      <x:c r="C6" s="16" t="str">
        <x:v>上下阵列</x:v>
      </x:c>
      <x:c r="D6" s="16" t="str">
        <x:v>40kHz 超声接收换能器</x:v>
      </x:c>
      <x:c r="E6" s="16" t="str">
        <x:v>NU40C相配RX（精确料号TBD）</x:v>
      </x:c>
      <x:c r="F6" s="16" t="str">
        <x:v>同频匹配接收器；不得擅自把TX当RX</x:v>
      </x:c>
      <x:c r="G6" s="16" t="str">
        <x:v>THT TBD</x:v>
      </x:c>
      <x:c r="H6" s="20" t="n">
        <x:v>4</x:v>
      </x:c>
      <x:c r="I6" s="20" t="n">
        <x:v>4</x:v>
      </x:c>
      <x:c r="J6" s="20" t="n">
        <x:v>0</x:v>
      </x:c>
      <x:c r="K6" s="20" t="n">
        <x:v>0</x:v>
      </x:c>
      <x:c r="L6" s="20" t="n">
        <x:v>0</x:v>
      </x:c>
      <x:c r="M6" s="23" t="n">
        <x:f>SUM(H6:L6)</x:f>
        <x:v>8</x:v>
      </x:c>
      <x:c r="N6" s="20" t="n">
        <x:v>16</x:v>
      </x:c>
      <x:c r="O6" s="16" t="str">
        <x:v>A</x:v>
      </x:c>
      <x:c r="P6" s="16" t="str">
        <x:v>待型号确认</x:v>
      </x:c>
      <x:c r="Q6" s="16" t="str">
        <x:v>8路采样/自校准</x:v>
      </x:c>
      <x:c r="R6" s="16" t="str">
        <x:v>接收器完整料号/灵敏度/安装结构待确认</x:v>
      </x:c>
      <x:c r="S6" s="16" t="str">
        <x:v>立创商城/授权渠道待查</x:v>
      </x:c>
      <x:c r="T6" s="16" t="str">
        <x:v>https://github.com/loverlike1216/SonoField-FPGA/tree/main/v5</x:v>
      </x:c>
      <x:c r="U6" s="16" t="str"/>
    </x:row>
    <x:row r="7" ht="43" customHeight="1">
      <x:c r="A7" s="16" t="str">
        <x:v>B-003</x:v>
      </x:c>
      <x:c r="B7" s="16" t="str">
        <x:v>发射驱动</x:v>
      </x:c>
      <x:c r="C7" s="16" t="str">
        <x:v>上下阵列</x:v>
      </x:c>
      <x:c r="D7" s="16" t="str">
        <x:v>双通道功率驱动器</x:v>
      </x:c>
      <x:c r="E7" s="16" t="str">
        <x:v>TC4427AEOA713</x:v>
      </x:c>
      <x:c r="F7" s="16" t="str">
        <x:v>2输出/芯片；12V首轮限流调试，不是NU40C10T额定电压</x:v>
      </x:c>
      <x:c r="G7" s="16" t="str">
        <x:v>SOIC-8</x:v>
      </x:c>
      <x:c r="H7" s="20" t="n">
        <x:v>32</x:v>
      </x:c>
      <x:c r="I7" s="20" t="n">
        <x:v>32</x:v>
      </x:c>
      <x:c r="J7" s="20" t="n">
        <x:v>0</x:v>
      </x:c>
      <x:c r="K7" s="20" t="n">
        <x:v>0</x:v>
      </x:c>
      <x:c r="L7" s="20" t="n">
        <x:v>0</x:v>
      </x:c>
      <x:c r="M7" s="23" t="n">
        <x:f>SUM(H7:L7)</x:f>
        <x:v>64</x:v>
      </x:c>
      <x:c r="N7" s="20" t="n">
        <x:v>72</x:v>
      </x:c>
      <x:c r="O7" s="16" t="str">
        <x:v>A</x:v>
      </x:c>
      <x:c r="P7" s="16" t="str">
        <x:v>继承候选/未电气发布</x:v>
      </x:c>
      <x:c r="Q7" s="16" t="str">
        <x:v>128通道驱动</x:v>
      </x:c>
      <x:c r="R7" s="16" t="str">
        <x:v>核查驱动电流、热、输出波形、换能器端峰峰值</x:v>
      </x:c>
      <x:c r="S7" s="16" t="str">
        <x:v>立创商城/授权渠道待查</x:v>
      </x:c>
      <x:c r="T7" s="16" t="str">
        <x:v>https://www.microchip.com/en-us/product/TC4427A</x:v>
      </x:c>
      <x:c r="U7" s="16" t="str"/>
    </x:row>
    <x:row r="8" ht="43" customHeight="1">
      <x:c r="A8" s="16" t="str">
        <x:v>B-004</x:v>
      </x:c>
      <x:c r="B8" s="16" t="str">
        <x:v>数字逻辑</x:v>
      </x:c>
      <x:c r="C8" s="16" t="str">
        <x:v>上下阵列</x:v>
      </x:c>
      <x:c r="D8" s="16" t="str">
        <x:v>8位串入并出寄存器</x:v>
      </x:c>
      <x:c r="E8" s="16" t="str">
        <x:v>SN74LVC595APWR</x:v>
      </x:c>
      <x:c r="F8" s="16" t="str">
        <x:v>每片4个有效输出；每侧16条独立串行lane</x:v>
      </x:c>
      <x:c r="G8" s="16" t="str">
        <x:v>TSSOP-16</x:v>
      </x:c>
      <x:c r="H8" s="20" t="n">
        <x:v>16</x:v>
      </x:c>
      <x:c r="I8" s="20" t="n">
        <x:v>16</x:v>
      </x:c>
      <x:c r="J8" s="20" t="n">
        <x:v>0</x:v>
      </x:c>
      <x:c r="K8" s="20" t="n">
        <x:v>0</x:v>
      </x:c>
      <x:c r="L8" s="20" t="n">
        <x:v>0</x:v>
      </x:c>
      <x:c r="M8" s="23" t="n">
        <x:f>SUM(H8:L8)</x:f>
        <x:v>32</x:v>
      </x:c>
      <x:c r="N8" s="20" t="n">
        <x:v>36</x:v>
      </x:c>
      <x:c r="O8" s="16" t="str">
        <x:v>A</x:v>
      </x:c>
      <x:c r="P8" s="16" t="str">
        <x:v>继承数字合同</x:v>
      </x:c>
      <x:c r="Q8" s="16" t="str">
        <x:v>32 lane ×4 outputs</x:v>
      </x:c>
      <x:c r="R8" s="16" t="str">
        <x:v>SRCLK 66MHz 真实外部建立保持/线缆必须验证</x:v>
      </x:c>
      <x:c r="S8" s="16" t="str">
        <x:v>立创商城/授权渠道待查</x:v>
      </x:c>
      <x:c r="T8" s="16" t="str">
        <x:v>https://www.ti.com/product/SN74LVC595A</x:v>
      </x:c>
      <x:c r="U8" s="16" t="str"/>
    </x:row>
    <x:row r="9" ht="43" customHeight="1">
      <x:c r="A9" s="16" t="str">
        <x:v>B-005</x:v>
      </x:c>
      <x:c r="B9" s="16" t="str">
        <x:v>数字逻辑</x:v>
      </x:c>
      <x:c r="C9" s="16" t="str">
        <x:v>上下阵列/中央</x:v>
      </x:c>
      <x:c r="D9" s="16" t="str">
        <x:v>8位双电源电平转换</x:v>
      </x:c>
      <x:c r="E9" s="16" t="str">
        <x:v>SN74AXC8T245PWR</x:v>
      </x:c>
      <x:c r="F9" s="16" t="str">
        <x:v>VCCA/VCCB均不得大于3.6V；根据VCCO放置与计算数量</x:v>
      </x:c>
      <x:c r="G9" s="16" t="str">
        <x:v>TSSOP-24</x:v>
      </x:c>
      <x:c r="H9" s="20" t="n">
        <x:v>3</x:v>
      </x:c>
      <x:c r="I9" s="20" t="n">
        <x:v>3</x:v>
      </x:c>
      <x:c r="J9" s="20" t="n">
        <x:v>2</x:v>
      </x:c>
      <x:c r="K9" s="20" t="n">
        <x:v>0</x:v>
      </x:c>
      <x:c r="L9" s="20" t="n">
        <x:v>0</x:v>
      </x:c>
      <x:c r="M9" s="23" t="n">
        <x:f>SUM(H9:L9)</x:f>
        <x:v>8</x:v>
      </x:c>
      <x:c r="N9" s="20" t="n">
        <x:v>10</x:v>
      </x:c>
      <x:c r="O9" s="16" t="str">
        <x:v>A</x:v>
      </x:c>
      <x:c r="P9" s="16" t="str">
        <x:v>继承估计/按IO重核</x:v>
      </x:c>
      <x:c r="Q9" s="16" t="str">
        <x:v>不同IO bank/阵列电源域兼容</x:v>
      </x:c>
      <x:c r="R9" s="16" t="str">
        <x:v>3.3V IO之间可能无需转换；禁止误当5V转换器</x:v>
      </x:c>
      <x:c r="S9" s="16" t="str">
        <x:v>立创商城/授权渠道待查</x:v>
      </x:c>
      <x:c r="T9" s="16" t="str">
        <x:v>https://www.ti.com/product/SN74AXC8T245</x:v>
      </x:c>
      <x:c r="U9" s="16" t="str"/>
    </x:row>
    <x:row r="10" ht="43" customHeight="1">
      <x:c r="A10" s="16" t="str">
        <x:v>B-006</x:v>
      </x:c>
      <x:c r="B10" s="16" t="str">
        <x:v>数字逻辑</x:v>
      </x:c>
      <x:c r="C10" s="16" t="str">
        <x:v>上下阵列</x:v>
      </x:c>
      <x:c r="D10" s="16" t="str">
        <x:v>8路时钟缓冲器</x:v>
      </x:c>
      <x:c r="E10" s="16" t="str">
        <x:v>SN74LVC244APWR</x:v>
      </x:c>
      <x:c r="F10" s="16" t="str">
        <x:v>每阵列1颗；4路SRCLK+4路RCLK 需负载证明</x:v>
      </x:c>
      <x:c r="G10" s="16" t="str">
        <x:v>TSSOP-20</x:v>
      </x:c>
      <x:c r="H10" s="20" t="n">
        <x:v>1</x:v>
      </x:c>
      <x:c r="I10" s="20" t="n">
        <x:v>1</x:v>
      </x:c>
      <x:c r="J10" s="20" t="n">
        <x:v>0</x:v>
      </x:c>
      <x:c r="K10" s="20" t="n">
        <x:v>0</x:v>
      </x:c>
      <x:c r="L10" s="20" t="n">
        <x:v>0</x:v>
      </x:c>
      <x:c r="M10" s="23" t="n">
        <x:f>SUM(H10:L10)</x:f>
        <x:v>2</x:v>
      </x:c>
      <x:c r="N10" s="20" t="n">
        <x:v>4</x:v>
      </x:c>
      <x:c r="O10" s="16" t="str">
        <x:v>A</x:v>
      </x:c>
      <x:c r="P10" s="16" t="str">
        <x:v>继承候选</x:v>
      </x:c>
      <x:c r="Q10" s="16" t="str">
        <x:v>同步移位/锁存时钟扇出</x:v>
      </x:c>
      <x:c r="R10" s="16" t="str">
        <x:v>走线偏斜/端接/输入负载未验证</x:v>
      </x:c>
      <x:c r="S10" s="16" t="str">
        <x:v>立创商城/授权渠道待查</x:v>
      </x:c>
      <x:c r="T10" s="16" t="str">
        <x:v>https://www.ti.com/product/SN74LVC244A</x:v>
      </x:c>
      <x:c r="U10" s="16" t="str"/>
    </x:row>
    <x:row r="11" ht="43" customHeight="1">
      <x:c r="A11" s="16" t="str">
        <x:v>B-007</x:v>
      </x:c>
      <x:c r="B11" s="16" t="str">
        <x:v>数字安全</x:v>
      </x:c>
      <x:c r="C11" s="16" t="str">
        <x:v>上下阵列</x:v>
      </x:c>
      <x:c r="D11" s="16" t="str">
        <x:v>双输入OR联锁门</x:v>
      </x:c>
      <x:c r="E11" s="16" t="str">
        <x:v>SN74LVC1G32DBVR</x:v>
      </x:c>
      <x:c r="F11" s="16" t="str">
        <x:v>OE fail-high 组合/拉起，逻辑需核验</x:v>
      </x:c>
      <x:c r="G11" s="16" t="str">
        <x:v>SOT-23-5</x:v>
      </x:c>
      <x:c r="H11" s="20" t="n">
        <x:v>1</x:v>
      </x:c>
      <x:c r="I11" s="20" t="n">
        <x:v>1</x:v>
      </x:c>
      <x:c r="J11" s="20" t="n">
        <x:v>0</x:v>
      </x:c>
      <x:c r="K11" s="20" t="n">
        <x:v>0</x:v>
      </x:c>
      <x:c r="L11" s="20" t="n">
        <x:v>0</x:v>
      </x:c>
      <x:c r="M11" s="23" t="n">
        <x:f>SUM(H11:L11)</x:f>
        <x:v>2</x:v>
      </x:c>
      <x:c r="N11" s="20" t="n">
        <x:v>4</x:v>
      </x:c>
      <x:c r="O11" s="16" t="str">
        <x:v>A</x:v>
      </x:c>
      <x:c r="P11" s="16" t="str">
        <x:v>推荐保留</x:v>
      </x:c>
      <x:c r="Q11" s="16" t="str">
        <x:v>FAULT/KILL组合硬件安全</x:v>
      </x:c>
      <x:c r="R11" s="16" t="str">
        <x:v>必须硬件掉电默认强制输出失能</x:v>
      </x:c>
      <x:c r="S11" s="16" t="str">
        <x:v>立创商城/授权渠道待查</x:v>
      </x:c>
      <x:c r="T11" s="16" t="str">
        <x:v>https://www.ti.com/product/SN74LVC1G32</x:v>
      </x:c>
      <x:c r="U11" s="16" t="str"/>
    </x:row>
    <x:row r="12" ht="43" customHeight="1">
      <x:c r="A12" s="16" t="str">
        <x:v>B-008</x:v>
      </x:c>
      <x:c r="B12" s="16" t="str">
        <x:v>数字安全</x:v>
      </x:c>
      <x:c r="C12" s="16" t="str">
        <x:v>上下阵列</x:v>
      </x:c>
      <x:c r="D12" s="16" t="str">
        <x:v>独立上电复位/欠压检测</x:v>
      </x:c>
      <x:c r="E12" s="16" t="str">
        <x:v>TLV803 / TPS3839 类（需定料）</x:v>
      </x:c>
      <x:c r="F12" s="16" t="str">
        <x:v>监测各板本地3.3V；独立硬件复位/禁能</x:v>
      </x:c>
      <x:c r="G12" s="16" t="str">
        <x:v>SOT-23 TBD</x:v>
      </x:c>
      <x:c r="H12" s="20" t="n">
        <x:v>1</x:v>
      </x:c>
      <x:c r="I12" s="20" t="n">
        <x:v>1</x:v>
      </x:c>
      <x:c r="J12" s="20" t="n">
        <x:v>0</x:v>
      </x:c>
      <x:c r="K12" s="20" t="n">
        <x:v>0</x:v>
      </x:c>
      <x:c r="L12" s="20" t="n">
        <x:v>0</x:v>
      </x:c>
      <x:c r="M12" s="23" t="n">
        <x:f>SUM(H12:L12)</x:f>
        <x:v>2</x:v>
      </x:c>
      <x:c r="N12" s="20" t="n">
        <x:v>4</x:v>
      </x:c>
      <x:c r="O12" s="16" t="str">
        <x:v>A</x:v>
      </x:c>
      <x:c r="P12" s="16" t="str">
        <x:v>新增/型号待定</x:v>
      </x:c>
      <x:c r="Q12" s="16" t="str">
        <x:v>局部断电时关闭驱动</x:v>
      </x:c>
      <x:c r="R12" s="16" t="str">
        <x:v>上电误波形/毛刺/背供电</x:v>
      </x:c>
      <x:c r="S12" s="16" t="str">
        <x:v>立创商城/授权渠道待查</x:v>
      </x:c>
      <x:c r="T12" s="16" t="str">
        <x:v>https://www.ti.com/product/TPS3839</x:v>
      </x:c>
      <x:c r="U12" s="16" t="str"/>
    </x:row>
    <x:row r="13" ht="43" customHeight="1">
      <x:c r="A13" s="16" t="str">
        <x:v>B-009</x:v>
      </x:c>
      <x:c r="B13" s="16" t="str">
        <x:v>数字安全</x:v>
      </x:c>
      <x:c r="C13" s="16" t="str">
        <x:v>上下阵列</x:v>
      </x:c>
      <x:c r="D13" s="16" t="str">
        <x:v>硬件失联看门狗</x:v>
      </x:c>
      <x:c r="E13" s="16" t="str">
        <x:v>TPS3430 类（需定料）</x:v>
      </x:c>
      <x:c r="F13" s="16" t="str">
        <x:v>EN必须由本地心跳与PGOOD共同允许；不可仅FPGA软件控制</x:v>
      </x:c>
      <x:c r="G13" s="16" t="str">
        <x:v>TBD</x:v>
      </x:c>
      <x:c r="H13" s="20" t="n">
        <x:v>1</x:v>
      </x:c>
      <x:c r="I13" s="20" t="n">
        <x:v>1</x:v>
      </x:c>
      <x:c r="J13" s="20" t="n">
        <x:v>0</x:v>
      </x:c>
      <x:c r="K13" s="20" t="n">
        <x:v>0</x:v>
      </x:c>
      <x:c r="L13" s="20" t="n">
        <x:v>0</x:v>
      </x:c>
      <x:c r="M13" s="23" t="n">
        <x:f>SUM(H13:L13)</x:f>
        <x:v>2</x:v>
      </x:c>
      <x:c r="N13" s="20" t="n">
        <x:v>4</x:v>
      </x:c>
      <x:c r="O13" s="16" t="str">
        <x:v>A</x:v>
      </x:c>
      <x:c r="P13" s="16" t="str">
        <x:v>新增/方案待定</x:v>
      </x:c>
      <x:c r="Q13" s="16" t="str">
        <x:v>数据线断开或FPGA挂起自动断声</x:v>
      </x:c>
      <x:c r="R13" s="16" t="str">
        <x:v>heartbeat超时阈值与载波相位行为先评审</x:v>
      </x:c>
      <x:c r="S13" s="16" t="str">
        <x:v>立创商城/授权渠道待查</x:v>
      </x:c>
      <x:c r="T13" s="16" t="str">
        <x:v>https://www.ti.com/product/TPS3430</x:v>
      </x:c>
      <x:c r="U13" s="16" t="str"/>
    </x:row>
    <x:row r="14" ht="43" customHeight="1">
      <x:c r="A14" s="16" t="str">
        <x:v>B-010</x:v>
      </x:c>
      <x:c r="B14" s="16" t="str">
        <x:v>模拟RX</x:v>
      </x:c>
      <x:c r="C14" s="16" t="str">
        <x:v>上下阵列</x:v>
      </x:c>
      <x:c r="D14" s="16" t="str">
        <x:v>4通道SPDT切换开关</x:v>
      </x:c>
      <x:c r="E14" s="16" t="str">
        <x:v>TMUX1574PWR</x:v>
      </x:c>
      <x:c r="F14" s="16" t="str">
        <x:v>每板4 RX通道；空白期切到静态偏置</x:v>
      </x:c>
      <x:c r="G14" s="16" t="str">
        <x:v>TSSOP-16</x:v>
      </x:c>
      <x:c r="H14" s="20" t="n">
        <x:v>1</x:v>
      </x:c>
      <x:c r="I14" s="20" t="n">
        <x:v>1</x:v>
      </x:c>
      <x:c r="J14" s="20" t="n">
        <x:v>0</x:v>
      </x:c>
      <x:c r="K14" s="20" t="n">
        <x:v>0</x:v>
      </x:c>
      <x:c r="L14" s="20" t="n">
        <x:v>0</x:v>
      </x:c>
      <x:c r="M14" s="23" t="n">
        <x:f>SUM(H14:L14)</x:f>
        <x:v>2</x:v>
      </x:c>
      <x:c r="N14" s="20" t="n">
        <x:v>4</x:v>
      </x:c>
      <x:c r="O14" s="16" t="str">
        <x:v>A</x:v>
      </x:c>
      <x:c r="P14" s="16" t="str">
        <x:v>继承候选</x:v>
      </x:c>
      <x:c r="Q14" s="16" t="str">
        <x:v>RX保护/blank</x:v>
      </x:c>
      <x:c r="R14" s="16" t="str">
        <x:v>关断保护不替代浪涌钳位</x:v>
      </x:c>
      <x:c r="S14" s="16" t="str">
        <x:v>立创商城/授权渠道待查</x:v>
      </x:c>
      <x:c r="T14" s="16" t="str">
        <x:v>https://www.ti.com/product/TMUX1574</x:v>
      </x:c>
      <x:c r="U14" s="16" t="str"/>
    </x:row>
    <x:row r="15" ht="43" customHeight="1">
      <x:c r="A15" s="16" t="str">
        <x:v>B-011</x:v>
      </x:c>
      <x:c r="B15" s="16" t="str">
        <x:v>模拟RX</x:v>
      </x:c>
      <x:c r="C15" s="16" t="str">
        <x:v>上下阵列</x:v>
      </x:c>
      <x:c r="D15" s="16" t="str">
        <x:v>四路精密运放</x:v>
      </x:c>
      <x:c r="E15" s="16" t="str">
        <x:v>OPA4192IPWR</x:v>
      </x:c>
      <x:c r="F15" s="16" t="str">
        <x:v>每个RX两级，合计16运放单元</x:v>
      </x:c>
      <x:c r="G15" s="16" t="str">
        <x:v>TSSOP-14</x:v>
      </x:c>
      <x:c r="H15" s="20" t="n">
        <x:v>2</x:v>
      </x:c>
      <x:c r="I15" s="20" t="n">
        <x:v>2</x:v>
      </x:c>
      <x:c r="J15" s="20" t="n">
        <x:v>0</x:v>
      </x:c>
      <x:c r="K15" s="20" t="n">
        <x:v>0</x:v>
      </x:c>
      <x:c r="L15" s="20" t="n">
        <x:v>0</x:v>
      </x:c>
      <x:c r="M15" s="23" t="n">
        <x:f>SUM(H15:L15)</x:f>
        <x:v>4</x:v>
      </x:c>
      <x:c r="N15" s="20" t="n">
        <x:v>6</x:v>
      </x:c>
      <x:c r="O15" s="16" t="str">
        <x:v>A</x:v>
      </x:c>
      <x:c r="P15" s="16" t="str">
        <x:v>继承候选</x:v>
      </x:c>
      <x:c r="Q15" s="16" t="str">
        <x:v>8通道两级AFE</x:v>
      </x:c>
      <x:c r="R15" s="16" t="str">
        <x:v>11×22?增益必须实测，防止过载/恢复慢</x:v>
      </x:c>
      <x:c r="S15" s="16" t="str">
        <x:v>立创商城/授权渠道待查</x:v>
      </x:c>
      <x:c r="T15" s="16" t="str">
        <x:v>https://www.ti.com/product/OPA4192</x:v>
      </x:c>
      <x:c r="U15" s="16" t="str"/>
    </x:row>
    <x:row r="16" ht="43" customHeight="1">
      <x:c r="A16" s="16" t="str">
        <x:v>B-012</x:v>
      </x:c>
      <x:c r="B16" s="16" t="str">
        <x:v>模拟RX</x:v>
      </x:c>
      <x:c r="C16" s="16" t="str">
        <x:v>上下阵列</x:v>
      </x:c>
      <x:c r="D16" s="16" t="str">
        <x:v>2.5V 精密偏置基准</x:v>
      </x:c>
      <x:c r="E16" s="16" t="str">
        <x:v>REF5025AIDR</x:v>
      </x:c>
      <x:c r="F16" s="16" t="str">
        <x:v>各板一颗；ADC内部基准另按AD7606B约束</x:v>
      </x:c>
      <x:c r="G16" s="16" t="str">
        <x:v>SOIC-8</x:v>
      </x:c>
      <x:c r="H16" s="20" t="n">
        <x:v>1</x:v>
      </x:c>
      <x:c r="I16" s="20" t="n">
        <x:v>1</x:v>
      </x:c>
      <x:c r="J16" s="20" t="n">
        <x:v>0</x:v>
      </x:c>
      <x:c r="K16" s="20" t="n">
        <x:v>0</x:v>
      </x:c>
      <x:c r="L16" s="20" t="n">
        <x:v>0</x:v>
      </x:c>
      <x:c r="M16" s="23" t="n">
        <x:f>SUM(H16:L16)</x:f>
        <x:v>2</x:v>
      </x:c>
      <x:c r="N16" s="20" t="n">
        <x:v>4</x:v>
      </x:c>
      <x:c r="O16" s="16" t="str">
        <x:v>A</x:v>
      </x:c>
      <x:c r="P16" s="16" t="str">
        <x:v>继承候选</x:v>
      </x:c>
      <x:c r="Q16" s="16" t="str">
        <x:v>RX偏置与静态blank电位</x:v>
      </x:c>
      <x:c r="R16" s="16" t="str">
        <x:v>噪声与RX组延迟需要校准</x:v>
      </x:c>
      <x:c r="S16" s="16" t="str">
        <x:v>立创商城/授权渠道待查</x:v>
      </x:c>
      <x:c r="T16" s="16" t="str">
        <x:v>https://www.ti.com/product/REF5025</x:v>
      </x:c>
      <x:c r="U16" s="16" t="str"/>
    </x:row>
    <x:row r="17" ht="43" customHeight="1">
      <x:c r="A17" s="16" t="str">
        <x:v>B-013</x:v>
      </x:c>
      <x:c r="B17" s="16" t="str">
        <x:v>模拟RX</x:v>
      </x:c>
      <x:c r="C17" s="16" t="str">
        <x:v>上下阵列</x:v>
      </x:c>
      <x:c r="D17" s="16" t="str">
        <x:v>双肖特基输入保护</x:v>
      </x:c>
      <x:c r="E17" s="16" t="str">
        <x:v>BAT54S</x:v>
      </x:c>
      <x:c r="F17" s="16" t="str">
        <x:v>每RX一路</x:v>
      </x:c>
      <x:c r="G17" s="16" t="str">
        <x:v>SOT-23</x:v>
      </x:c>
      <x:c r="H17" s="20" t="n">
        <x:v>4</x:v>
      </x:c>
      <x:c r="I17" s="20" t="n">
        <x:v>4</x:v>
      </x:c>
      <x:c r="J17" s="20" t="n">
        <x:v>0</x:v>
      </x:c>
      <x:c r="K17" s="20" t="n">
        <x:v>0</x:v>
      </x:c>
      <x:c r="L17" s="20" t="n">
        <x:v>0</x:v>
      </x:c>
      <x:c r="M17" s="23" t="n">
        <x:f>SUM(H17:L17)</x:f>
        <x:v>8</x:v>
      </x:c>
      <x:c r="N17" s="20" t="n">
        <x:v>20</x:v>
      </x:c>
      <x:c r="O17" s="16" t="str">
        <x:v>A</x:v>
      </x:c>
      <x:c r="P17" s="16" t="str">
        <x:v>继承/调参</x:v>
      </x:c>
      <x:c r="Q17" s="16" t="str">
        <x:v>AFE输入瞬态钳位</x:v>
      </x:c>
      <x:c r="R17" s="16" t="str">
        <x:v>具体钳位到哪条轨需跟随原理图审查</x:v>
      </x:c>
      <x:c r="S17" s="16" t="str">
        <x:v>立创商城/授权渠道待查</x:v>
      </x:c>
      <x:c r="T17" s="16" t="str">
        <x:v>https://www.lcsc.com</x:v>
      </x:c>
      <x:c r="U17" s="16" t="str"/>
    </x:row>
    <x:row r="18" ht="43" customHeight="1">
      <x:c r="A18" s="16" t="str">
        <x:v>B-014</x:v>
      </x:c>
      <x:c r="B18" s="16" t="str">
        <x:v>ADC</x:v>
      </x:c>
      <x:c r="C18" s="16" t="str">
        <x:v>中央接口采集板</x:v>
      </x:c>
      <x:c r="D18" s="16" t="str">
        <x:v>8通道同步16bit ADC</x:v>
      </x:c>
      <x:c r="E18" s="16" t="str">
        <x:v>AD7606BBSTZ-RL</x:v>
      </x:c>
      <x:c r="F18" s="16" t="str">
        <x:v>8ch 800kSPS/ch; 5V AVCC, 1.71~3.6V VDRIVE</x:v>
      </x:c>
      <x:c r="G18" s="16" t="str">
        <x:v>LQFP-64</x:v>
      </x:c>
      <x:c r="H18" s="20" t="n">
        <x:v>0</x:v>
      </x:c>
      <x:c r="I18" s="20" t="n">
        <x:v>0</x:v>
      </x:c>
      <x:c r="J18" s="20" t="n">
        <x:v>1</x:v>
      </x:c>
      <x:c r="K18" s="20" t="n">
        <x:v>0</x:v>
      </x:c>
      <x:c r="L18" s="20" t="n">
        <x:v>0</x:v>
      </x:c>
      <x:c r="M18" s="23" t="n">
        <x:f>SUM(H18:L18)</x:f>
        <x:v>1</x:v>
      </x:c>
      <x:c r="N18" s="20" t="n">
        <x:v>2</x:v>
      </x:c>
      <x:c r="O18" s="16" t="str">
        <x:v>A</x:v>
      </x:c>
      <x:c r="P18" s="16" t="str">
        <x:v>继承核心选型</x:v>
      </x:c>
      <x:c r="Q18" s="16" t="str">
        <x:v>上下每4路RX同步采样</x:v>
      </x:c>
      <x:c r="R18" s="16" t="str">
        <x:v>真实接口four-DOUT 时序、REF、输入范围必须对照手册</x:v>
      </x:c>
      <x:c r="S18" s="16" t="str">
        <x:v>立创商城/授权渠道待查</x:v>
      </x:c>
      <x:c r="T18" s="16" t="str">
        <x:v>https://www.analog.com/en/products/ad7606b.html</x:v>
      </x:c>
      <x:c r="U18" s="16" t="str"/>
    </x:row>
    <x:row r="19" ht="43" customHeight="1">
      <x:c r="A19" s="16" t="str">
        <x:v>B-015</x:v>
      </x:c>
      <x:c r="B19" s="16" t="str">
        <x:v>ADC</x:v>
      </x:c>
      <x:c r="C19" s="16" t="str">
        <x:v>中央接口采集板</x:v>
      </x:c>
      <x:c r="D19" s="16" t="str">
        <x:v>ADC RC输入限流/缓冲网络</x:v>
      </x:c>
      <x:c r="E19" s="16" t="str">
        <x:v>47Ω+1nF C0G 组合</x:v>
      </x:c>
      <x:c r="F19" s="16" t="str">
        <x:v>8路; 初值非最终ADC驱动网络</x:v>
      </x:c>
      <x:c r="G19" s="16" t="str">
        <x:v>离散</x:v>
      </x:c>
      <x:c r="H19" s="20" t="n">
        <x:v>0</x:v>
      </x:c>
      <x:c r="I19" s="20" t="n">
        <x:v>0</x:v>
      </x:c>
      <x:c r="J19" s="20" t="n">
        <x:v>8</x:v>
      </x:c>
      <x:c r="K19" s="20" t="n">
        <x:v>0</x:v>
      </x:c>
      <x:c r="L19" s="20" t="n">
        <x:v>0</x:v>
      </x:c>
      <x:c r="M19" s="23" t="n">
        <x:f>SUM(H19:L19)</x:f>
        <x:v>8</x:v>
      </x:c>
      <x:c r="N19" s="20" t="n">
        <x:v>12</x:v>
      </x:c>
      <x:c r="O19" s="16" t="str">
        <x:v>A</x:v>
      </x:c>
      <x:c r="P19" s="16" t="str">
        <x:v>复核RC参数</x:v>
      </x:c>
      <x:c r="Q19" s="16" t="str">
        <x:v>长RX线终端与抗干扰</x:v>
      </x:c>
      <x:c r="R19" s="16" t="str">
        <x:v>输入采样带宽/RC引入相位需校准</x:v>
      </x:c>
      <x:c r="S19" s="16" t="str">
        <x:v>立创商城/授权渠道待查</x:v>
      </x:c>
      <x:c r="T19" s="16" t="str">
        <x:v>https://www.analog.com/en/products/ad7606b.html</x:v>
      </x:c>
      <x:c r="U19" s="16" t="str"/>
    </x:row>
    <x:row r="20" ht="43" customHeight="1">
      <x:c r="A20" s="16" t="str">
        <x:v>B-016</x:v>
      </x:c>
      <x:c r="B20" s="16" t="str">
        <x:v>ADC</x:v>
      </x:c>
      <x:c r="C20" s="16" t="str">
        <x:v>中央接口采集板</x:v>
      </x:c>
      <x:c r="D20" s="16" t="str">
        <x:v>ADC基准去耦/配置网络</x:v>
      </x:c>
      <x:c r="E20" s="16" t="str">
        <x:v>AD7606B专用无源网络TBD</x:v>
      </x:c>
      <x:c r="F20" s="16" t="str">
        <x:v>按ADI推荐布局；与REF5025 RX偏置区分</x:v>
      </x:c>
      <x:c r="G20" s="16" t="str">
        <x:v>离散套件</x:v>
      </x:c>
      <x:c r="H20" s="20" t="n">
        <x:v>0</x:v>
      </x:c>
      <x:c r="I20" s="20" t="n">
        <x:v>0</x:v>
      </x:c>
      <x:c r="J20" s="20" t="n">
        <x:v>1</x:v>
      </x:c>
      <x:c r="K20" s="20" t="n">
        <x:v>0</x:v>
      </x:c>
      <x:c r="L20" s="20" t="n">
        <x:v>0</x:v>
      </x:c>
      <x:c r="M20" s="23" t="n">
        <x:f>SUM(H20:L20)</x:f>
        <x:v>1</x:v>
      </x:c>
      <x:c r="N20" s="20" t="n">
        <x:v>2</x:v>
      </x:c>
      <x:c r="O20" s="16" t="str">
        <x:v>A</x:v>
      </x:c>
      <x:c r="P20" s="16" t="str">
        <x:v>必须设计/未冻结</x:v>
      </x:c>
      <x:c r="Q20" s="16" t="str">
        <x:v>ADC VREF/REGCAP/RESET/范围设置</x:v>
      </x:c>
      <x:c r="R20" s="16" t="str">
        <x:v>不是直接缺省不装</x:v>
      </x:c>
      <x:c r="S20" s="16" t="str">
        <x:v>立创商城/授权渠道待查</x:v>
      </x:c>
      <x:c r="T20" s="16" t="str">
        <x:v>https://www.analog.com/en/products/ad7606b.html</x:v>
      </x:c>
      <x:c r="U20" s="16" t="str"/>
    </x:row>
    <x:row r="21" ht="43" customHeight="1">
      <x:c r="A21" s="16" t="str">
        <x:v>B-017</x:v>
      </x:c>
      <x:c r="B21" s="16" t="str">
        <x:v>传感器</x:v>
      </x:c>
      <x:c r="C21" s="16" t="str">
        <x:v>远端环境板</x:v>
      </x:c>
      <x:c r="D21" s="16" t="str">
        <x:v>温湿度传感器</x:v>
      </x:c>
      <x:c r="E21" s="16" t="str">
        <x:v>SHT45-AD1B-R2</x:v>
      </x:c>
      <x:c r="F21" s="16" t="str">
        <x:v>I2C，远离发射功率温升</x:v>
      </x:c>
      <x:c r="G21" s="16" t="str">
        <x:v>DFN-4</x:v>
      </x:c>
      <x:c r="H21" s="20" t="n">
        <x:v>0</x:v>
      </x:c>
      <x:c r="I21" s="20" t="n">
        <x:v>0</x:v>
      </x:c>
      <x:c r="J21" s="20" t="n">
        <x:v>0</x:v>
      </x:c>
      <x:c r="K21" s="20" t="n">
        <x:v>1</x:v>
      </x:c>
      <x:c r="L21" s="20" t="n">
        <x:v>0</x:v>
      </x:c>
      <x:c r="M21" s="23" t="n">
        <x:f>SUM(H21:L21)</x:f>
        <x:v>1</x:v>
      </x:c>
      <x:c r="N21" s="20" t="n">
        <x:v>2</x:v>
      </x:c>
      <x:c r="O21" s="16" t="str">
        <x:v>A</x:v>
      </x:c>
      <x:c r="P21" s="16" t="str">
        <x:v>继承候选</x:v>
      </x:c>
      <x:c r="Q21" s="16" t="str">
        <x:v>空气声速修正输入</x:v>
      </x:c>
      <x:c r="R21" s="16" t="str">
        <x:v>I2C上拉/远端布局需要校准</x:v>
      </x:c>
      <x:c r="S21" s="16" t="str">
        <x:v>立创商城/授权渠道待查</x:v>
      </x:c>
      <x:c r="T21" s="16" t="str">
        <x:v>https://sensirion.com/products/catalog/SHT45</x:v>
      </x:c>
      <x:c r="U21" s="16" t="str"/>
    </x:row>
    <x:row r="22" ht="43" customHeight="1">
      <x:c r="A22" s="16" t="str">
        <x:v>B-018</x:v>
      </x:c>
      <x:c r="B22" s="16" t="str">
        <x:v>独立供电</x:v>
      </x:c>
      <x:c r="C22" s="16" t="str">
        <x:v>上下阵列</x:v>
      </x:c>
      <x:c r="D22" s="16" t="str">
        <x:v>独立12V电源输入座</x:v>
      </x:c>
      <x:c r="E22" s="16" t="str">
        <x:v>XT30PW-M30.G.Y</x:v>
      </x:c>
      <x:c r="F22" s="16" t="str">
        <x:v>每阵列专属PWR_UP_IN/PWR_LO_IN；不得从J10/J11取功率</x:v>
      </x:c>
      <x:c r="G22" s="16" t="str">
        <x:v>THT</x:v>
      </x:c>
      <x:c r="H22" s="20" t="n">
        <x:v>1</x:v>
      </x:c>
      <x:c r="I22" s="20" t="n">
        <x:v>1</x:v>
      </x:c>
      <x:c r="J22" s="20" t="n">
        <x:v>0</x:v>
      </x:c>
      <x:c r="K22" s="20" t="n">
        <x:v>0</x:v>
      </x:c>
      <x:c r="L22" s="20" t="n">
        <x:v>0</x:v>
      </x:c>
      <x:c r="M22" s="23" t="n">
        <x:f>SUM(H22:L22)</x:f>
        <x:v>2</x:v>
      </x:c>
      <x:c r="N22" s="20" t="n">
        <x:v>4</x:v>
      </x:c>
      <x:c r="O22" s="16" t="str">
        <x:v>A</x:v>
      </x:c>
      <x:c r="P22" s="16" t="str">
        <x:v>新增强制约束</x:v>
      </x:c>
      <x:c r="Q22" s="16" t="str">
        <x:v>TX 12V 独立输入</x:v>
      </x:c>
      <x:c r="R22" s="16" t="str">
        <x:v>必须防反插、核对正负极、端子脚位和电流额定</x:v>
      </x:c>
      <x:c r="S22" s="16" t="str">
        <x:v>立创商城/授权渠道待查</x:v>
      </x:c>
      <x:c r="T22" s="16" t="str">
        <x:v>https://www.lcsc.com</x:v>
      </x:c>
      <x:c r="U22" s="16" t="str"/>
    </x:row>
    <x:row r="23" ht="43" customHeight="1">
      <x:c r="A23" s="16" t="str">
        <x:v>B-019</x:v>
      </x:c>
      <x:c r="B23" s="16" t="str">
        <x:v>独立供电</x:v>
      </x:c>
      <x:c r="C23" s="16" t="str">
        <x:v>中央接口采集板</x:v>
      </x:c>
      <x:c r="D23" s="16" t="str">
        <x:v>中央辅助电源接口</x:v>
      </x:c>
      <x:c r="E23" s="16" t="str">
        <x:v>XT30PW-M30.G.Y</x:v>
      </x:c>
      <x:c r="F23" s="16" t="str">
        <x:v>为中央ADC与辅助逻辑提供独立电源；AX7020开发板自带电源独立</x:v>
      </x:c>
      <x:c r="G23" s="16" t="str">
        <x:v>THT</x:v>
      </x:c>
      <x:c r="H23" s="20" t="n">
        <x:v>0</x:v>
      </x:c>
      <x:c r="I23" s="20" t="n">
        <x:v>0</x:v>
      </x:c>
      <x:c r="J23" s="20" t="n">
        <x:v>1</x:v>
      </x:c>
      <x:c r="K23" s="20" t="n">
        <x:v>0</x:v>
      </x:c>
      <x:c r="L23" s="20" t="n">
        <x:v>0</x:v>
      </x:c>
      <x:c r="M23" s="23" t="n">
        <x:f>SUM(H23:L23)</x:f>
        <x:v>1</x:v>
      </x:c>
      <x:c r="N23" s="20" t="n">
        <x:v>2</x:v>
      </x:c>
      <x:c r="O23" s="16" t="str">
        <x:v>A</x:v>
      </x:c>
      <x:c r="P23" s="16" t="str">
        <x:v>建议保留</x:v>
      </x:c>
      <x:c r="Q23" s="16" t="str">
        <x:v>AFE/ADC不占用FPGA扩展口电流预算</x:v>
      </x:c>
      <x:c r="R23" s="16" t="str">
        <x:v>不经由AX7020 5V/3V3供电</x:v>
      </x:c>
      <x:c r="S23" s="16" t="str">
        <x:v>立创商城/授权渠道待查</x:v>
      </x:c>
      <x:c r="T23" s="16" t="str">
        <x:v>https://www.lcsc.com</x:v>
      </x:c>
      <x:c r="U23" s="16" t="str"/>
    </x:row>
    <x:row r="24" ht="43" customHeight="1">
      <x:c r="A24" s="16" t="str">
        <x:v>B-020</x:v>
      </x:c>
      <x:c r="B24" s="16" t="str">
        <x:v>保护</x:v>
      </x:c>
      <x:c r="C24" s="16" t="str">
        <x:v>上下阵列/中央</x:v>
      </x:c>
      <x:c r="D24" s="16" t="str">
        <x:v>正向/反向/过流eFuse</x:v>
      </x:c>
      <x:c r="E24" s="16" t="str">
        <x:v>TPS259470LRPWR</x:v>
      </x:c>
      <x:c r="F24" s="16" t="str">
        <x:v>三路电源各自配置ILIM/OVLO；历史2A只是候选</x:v>
      </x:c>
      <x:c r="G24" s="16" t="str">
        <x:v>VQFN-10</x:v>
      </x:c>
      <x:c r="H24" s="20" t="n">
        <x:v>1</x:v>
      </x:c>
      <x:c r="I24" s="20" t="n">
        <x:v>1</x:v>
      </x:c>
      <x:c r="J24" s="20" t="n">
        <x:v>1</x:v>
      </x:c>
      <x:c r="K24" s="20" t="n">
        <x:v>0</x:v>
      </x:c>
      <x:c r="L24" s="20" t="n">
        <x:v>0</x:v>
      </x:c>
      <x:c r="M24" s="23" t="n">
        <x:f>SUM(H24:L24)</x:f>
        <x:v>3</x:v>
      </x:c>
      <x:c r="N24" s="20" t="n">
        <x:v>5</x:v>
      </x:c>
      <x:c r="O24" s="16" t="str">
        <x:v>A</x:v>
      </x:c>
      <x:c r="P24" s="16" t="str">
        <x:v>继承件/新架构</x:v>
      </x:c>
      <x:c r="Q24" s="16" t="str">
        <x:v>故障断电/独立支路隔离</x:v>
      </x:c>
      <x:c r="R24" s="16" t="str">
        <x:v>启动浪涌、峰值电流和热需测量; eFuse max 5.5A</x:v>
      </x:c>
      <x:c r="S24" s="16" t="str">
        <x:v>立创商城/授权渠道待查</x:v>
      </x:c>
      <x:c r="T24" s="16" t="str">
        <x:v>https://www.ti.com/product/TPS25947</x:v>
      </x:c>
      <x:c r="U24" s="16" t="str"/>
    </x:row>
    <x:row r="25" ht="43" customHeight="1">
      <x:c r="A25" s="16" t="str">
        <x:v>B-021</x:v>
      </x:c>
      <x:c r="B25" s="16" t="str">
        <x:v>保护</x:v>
      </x:c>
      <x:c r="C25" s="16" t="str">
        <x:v>上下阵列/中央</x:v>
      </x:c>
      <x:c r="D25" s="16" t="str">
        <x:v>电源监控IC</x:v>
      </x:c>
      <x:c r="E25" s="16" t="str">
        <x:v>INA226AIDGSR</x:v>
      </x:c>
      <x:c r="F25" s="16" t="str">
        <x:v>两阵列+中央各一颗，shunt实际功耗需核算</x:v>
      </x:c>
      <x:c r="G25" s="16" t="str">
        <x:v>VSSOP-10</x:v>
      </x:c>
      <x:c r="H25" s="20" t="n">
        <x:v>1</x:v>
      </x:c>
      <x:c r="I25" s="20" t="n">
        <x:v>1</x:v>
      </x:c>
      <x:c r="J25" s="20" t="n">
        <x:v>1</x:v>
      </x:c>
      <x:c r="K25" s="20" t="n">
        <x:v>0</x:v>
      </x:c>
      <x:c r="L25" s="20" t="n">
        <x:v>0</x:v>
      </x:c>
      <x:c r="M25" s="23" t="n">
        <x:f>SUM(H25:L25)</x:f>
        <x:v>3</x:v>
      </x:c>
      <x:c r="N25" s="20" t="n">
        <x:v>5</x:v>
      </x:c>
      <x:c r="O25" s="16" t="str">
        <x:v>A</x:v>
      </x:c>
      <x:c r="P25" s="16" t="str">
        <x:v>继承候选</x:v>
      </x:c>
      <x:c r="Q25" s="16" t="str">
        <x:v>每支路V/I/P监控</x:v>
      </x:c>
      <x:c r="R25" s="16" t="str">
        <x:v>需评估I2C从板到中央传输接口</x:v>
      </x:c>
      <x:c r="S25" s="16" t="str">
        <x:v>立创商城/授权渠道待查</x:v>
      </x:c>
      <x:c r="T25" s="16" t="str">
        <x:v>https://www.ti.com/product/INA226</x:v>
      </x:c>
      <x:c r="U25" s="16" t="str"/>
    </x:row>
    <x:row r="26" ht="43" customHeight="1">
      <x:c r="A26" s="16" t="str">
        <x:v>B-022</x:v>
      </x:c>
      <x:c r="B26" s="16" t="str">
        <x:v>保护</x:v>
      </x:c>
      <x:c r="C26" s="16" t="str">
        <x:v>上下阵列/中央</x:v>
      </x:c>
      <x:c r="D26" s="16" t="str">
        <x:v>低值分流电阻</x:v>
      </x:c>
      <x:c r="E26" s="16" t="str">
        <x:v>20mΩ 2512 1% 2W</x:v>
      </x:c>
      <x:c r="F26" s="16" t="str">
        <x:v>Kelvin连线；3个</x:v>
      </x:c>
      <x:c r="G26" s="16" t="str">
        <x:v>2512</x:v>
      </x:c>
      <x:c r="H26" s="20" t="n">
        <x:v>1</x:v>
      </x:c>
      <x:c r="I26" s="20" t="n">
        <x:v>1</x:v>
      </x:c>
      <x:c r="J26" s="20" t="n">
        <x:v>1</x:v>
      </x:c>
      <x:c r="K26" s="20" t="n">
        <x:v>0</x:v>
      </x:c>
      <x:c r="L26" s="20" t="n">
        <x:v>0</x:v>
      </x:c>
      <x:c r="M26" s="23" t="n">
        <x:f>SUM(H26:L26)</x:f>
        <x:v>3</x:v>
      </x:c>
      <x:c r="N26" s="20" t="n">
        <x:v>10</x:v>
      </x:c>
      <x:c r="O26" s="16" t="str">
        <x:v>A</x:v>
      </x:c>
      <x:c r="P26" s="16" t="str">
        <x:v>继承候选</x:v>
      </x:c>
      <x:c r="Q26" s="16" t="str">
        <x:v>INA226测流</x:v>
      </x:c>
      <x:c r="R26" s="16" t="str">
        <x:v>应核算焊盘发热</x:v>
      </x:c>
      <x:c r="S26" s="16" t="str">
        <x:v>立创商城/授权渠道待查</x:v>
      </x:c>
      <x:c r="T26" s="16" t="str">
        <x:v>https://www.lcsc.com</x:v>
      </x:c>
      <x:c r="U26" s="16" t="str"/>
    </x:row>
    <x:row r="27" ht="43" customHeight="1">
      <x:c r="A27" s="16" t="str">
        <x:v>B-023</x:v>
      </x:c>
      <x:c r="B27" s="16" t="str">
        <x:v>保护</x:v>
      </x:c>
      <x:c r="C27" s="16" t="str">
        <x:v>上下阵列/中央</x:v>
      </x:c>
      <x:c r="D27" s="16" t="str">
        <x:v>输入TVS</x:v>
      </x:c>
      <x:c r="E27" s="16" t="str">
        <x:v>SMBJ20A 类</x:v>
      </x:c>
      <x:c r="F27" s="16" t="str">
        <x:v>三路外接电源独立TVS；钳位与eFuse需协同</x:v>
      </x:c>
      <x:c r="G27" s="16" t="str">
        <x:v>SMB</x:v>
      </x:c>
      <x:c r="H27" s="20" t="n">
        <x:v>1</x:v>
      </x:c>
      <x:c r="I27" s="20" t="n">
        <x:v>1</x:v>
      </x:c>
      <x:c r="J27" s="20" t="n">
        <x:v>1</x:v>
      </x:c>
      <x:c r="K27" s="20" t="n">
        <x:v>0</x:v>
      </x:c>
      <x:c r="L27" s="20" t="n">
        <x:v>0</x:v>
      </x:c>
      <x:c r="M27" s="23" t="n">
        <x:f>SUM(H27:L27)</x:f>
        <x:v>3</x:v>
      </x:c>
      <x:c r="N27" s="20" t="n">
        <x:v>6</x:v>
      </x:c>
      <x:c r="O27" s="16" t="str">
        <x:v>A</x:v>
      </x:c>
      <x:c r="P27" s="16" t="str">
        <x:v>继承候选</x:v>
      </x:c>
      <x:c r="Q27" s="16" t="str">
        <x:v>瞬变浪涌保护</x:v>
      </x:c>
      <x:c r="R27" s="16" t="str">
        <x:v>20V standoff不是12V过压保护阈值</x:v>
      </x:c>
      <x:c r="S27" s="16" t="str">
        <x:v>立创商城/授权渠道待查</x:v>
      </x:c>
      <x:c r="T27" s="16" t="str">
        <x:v>https://www.littelfuse.com/products/tvs-diodes/smbj.aspx</x:v>
      </x:c>
      <x:c r="U27" s="16" t="str"/>
    </x:row>
    <x:row r="28" ht="43" customHeight="1">
      <x:c r="A28" s="16" t="str">
        <x:v>B-024</x:v>
      </x:c>
      <x:c r="B28" s="16" t="str">
        <x:v>保护</x:v>
      </x:c>
      <x:c r="C28" s="16" t="str">
        <x:v>上下阵列/中央</x:v>
      </x:c>
      <x:c r="D28" s="16" t="str">
        <x:v>独立熔断器及座</x:v>
      </x:c>
      <x:c r="E28" s="16" t="str">
        <x:v>2A 慢断候选，具体值TBD</x:v>
      </x:c>
      <x:c r="F28" s="16" t="str">
        <x:v>3路/需按实测峰值选值</x:v>
      </x:c>
      <x:c r="G28" s="16" t="str">
        <x:v>TBD</x:v>
      </x:c>
      <x:c r="H28" s="20" t="n">
        <x:v>1</x:v>
      </x:c>
      <x:c r="I28" s="20" t="n">
        <x:v>1</x:v>
      </x:c>
      <x:c r="J28" s="20" t="n">
        <x:v>1</x:v>
      </x:c>
      <x:c r="K28" s="20" t="n">
        <x:v>0</x:v>
      </x:c>
      <x:c r="L28" s="20" t="n">
        <x:v>0</x:v>
      </x:c>
      <x:c r="M28" s="23" t="n">
        <x:f>SUM(H28:L28)</x:f>
        <x:v>3</x:v>
      </x:c>
      <x:c r="N28" s="20" t="n">
        <x:v>10</x:v>
      </x:c>
      <x:c r="O28" s="16" t="str">
        <x:v>A</x:v>
      </x:c>
      <x:c r="P28" s="16" t="str">
        <x:v>复核额定值</x:v>
      </x:c>
      <x:c r="Q28" s="16" t="str">
        <x:v>二次物理故障隔离</x:v>
      </x:c>
      <x:c r="R28" s="16" t="str">
        <x:v>2A仅旧BOM起点；按线径/瞬态/实测调整</x:v>
      </x:c>
      <x:c r="S28" s="16" t="str">
        <x:v>立创商城/授权渠道待查</x:v>
      </x:c>
      <x:c r="T28" s="16" t="str">
        <x:v>https://www.lcsc.com</x:v>
      </x:c>
      <x:c r="U28" s="16" t="str"/>
    </x:row>
    <x:row r="29" ht="43" customHeight="1">
      <x:c r="A29" s="16" t="str">
        <x:v>B-025</x:v>
      </x:c>
      <x:c r="B29" s="16" t="str">
        <x:v>保护</x:v>
      </x:c>
      <x:c r="C29" s="16" t="str">
        <x:v>上下阵列</x:v>
      </x:c>
      <x:c r="D29" s="16" t="str">
        <x:v>板级电源总开关/硬件急停输入</x:v>
      </x:c>
      <x:c r="E29" s="16" t="str">
        <x:v>E-STOP接口 + NC触点/继电开关待定</x:v>
      </x:c>
      <x:c r="F29" s="16" t="str">
        <x:v>硬件切断driver enable或电源域，二选一/组合实测</x:v>
      </x:c>
      <x:c r="G29" s="16" t="str">
        <x:v>TBD</x:v>
      </x:c>
      <x:c r="H29" s="20" t="n">
        <x:v>1</x:v>
      </x:c>
      <x:c r="I29" s="20" t="n">
        <x:v>1</x:v>
      </x:c>
      <x:c r="J29" s="20" t="n">
        <x:v>0</x:v>
      </x:c>
      <x:c r="K29" s="20" t="n">
        <x:v>0</x:v>
      </x:c>
      <x:c r="L29" s="20" t="n">
        <x:v>0</x:v>
      </x:c>
      <x:c r="M29" s="23" t="n">
        <x:f>SUM(H29:L29)</x:f>
        <x:v>2</x:v>
      </x:c>
      <x:c r="N29" s="20" t="n">
        <x:v>4</x:v>
      </x:c>
      <x:c r="O29" s="16" t="str">
        <x:v>A</x:v>
      </x:c>
      <x:c r="P29" s="16" t="str">
        <x:v>新增必需/方案待定</x:v>
      </x:c>
      <x:c r="Q29" s="16" t="str">
        <x:v>独立急停</x:v>
      </x:c>
      <x:c r="R29" s="16" t="str">
        <x:v>NC失联强制OFF; 不接受仅GUI禁能</x:v>
      </x:c>
      <x:c r="S29" s="16" t="str">
        <x:v>立创商城/授权渠道待查</x:v>
      </x:c>
      <x:c r="T29" s="16" t="str">
        <x:v>https://www.ti.com/product/TPS25947</x:v>
      </x:c>
      <x:c r="U29" s="16" t="str"/>
    </x:row>
    <x:row r="30" ht="43" customHeight="1">
      <x:c r="A30" s="16" t="str">
        <x:v>B-026</x:v>
      </x:c>
      <x:c r="B30" s="16" t="str">
        <x:v>保护</x:v>
      </x:c>
      <x:c r="C30" s="16" t="str">
        <x:v>上下阵列</x:v>
      </x:c>
      <x:c r="D30" s="16" t="str">
        <x:v>本地PGOOD与FAULT反馈电路</x:v>
      </x:c>
      <x:c r="E30" s="16" t="str">
        <x:v>开漏/拉升/隔离网络 TBD</x:v>
      </x:c>
      <x:c r="F30" s="16" t="str">
        <x:v>每板输出LOCAL_PGOOD/LOCAL_FAULT</x:v>
      </x:c>
      <x:c r="G30" s="16" t="str">
        <x:v>离散</x:v>
      </x:c>
      <x:c r="H30" s="20" t="n">
        <x:v>1</x:v>
      </x:c>
      <x:c r="I30" s="20" t="n">
        <x:v>1</x:v>
      </x:c>
      <x:c r="J30" s="20" t="n">
        <x:v>0</x:v>
      </x:c>
      <x:c r="K30" s="20" t="n">
        <x:v>0</x:v>
      </x:c>
      <x:c r="L30" s="20" t="n">
        <x:v>0</x:v>
      </x:c>
      <x:c r="M30" s="23" t="n">
        <x:f>SUM(H30:L30)</x:f>
        <x:v>2</x:v>
      </x:c>
      <x:c r="N30" s="20" t="n">
        <x:v>4</x:v>
      </x:c>
      <x:c r="O30" s="16" t="str">
        <x:v>A</x:v>
      </x:c>
      <x:c r="P30" s="16" t="str">
        <x:v>新增</x:v>
      </x:c>
      <x:c r="Q30" s="16" t="str">
        <x:v>给FPGA只读运行状态</x:v>
      </x:c>
      <x:c r="R30" s="16" t="str">
        <x:v>断电不能反向给IO供电</x:v>
      </x:c>
      <x:c r="S30" s="16" t="str">
        <x:v>立创商城/授权渠道待查</x:v>
      </x:c>
      <x:c r="T30" s="16" t="str">
        <x:v>https://www.ti.com/product/SN74AXC8T245</x:v>
      </x:c>
      <x:c r="U30" s="16" t="str"/>
    </x:row>
    <x:row r="31" ht="43" customHeight="1">
      <x:c r="A31" s="16" t="str">
        <x:v>B-027</x:v>
      </x:c>
      <x:c r="B31" s="16" t="str">
        <x:v>电源变换</x:v>
      </x:c>
      <x:c r="C31" s="16" t="str">
        <x:v>上下阵列/中央</x:v>
      </x:c>
      <x:c r="D31" s="16" t="str">
        <x:v>3.3V数字电源DC/DC</x:v>
      </x:c>
      <x:c r="E31" s="16" t="str">
        <x:v>AP63203WU-7</x:v>
      </x:c>
      <x:c r="F31" s="16" t="str">
        <x:v>每板12V→3.3V；负载核验</x:v>
      </x:c>
      <x:c r="G31" s="16" t="str">
        <x:v>TSOT-26</x:v>
      </x:c>
      <x:c r="H31" s="20" t="n">
        <x:v>1</x:v>
      </x:c>
      <x:c r="I31" s="20" t="n">
        <x:v>1</x:v>
      </x:c>
      <x:c r="J31" s="20" t="n">
        <x:v>1</x:v>
      </x:c>
      <x:c r="K31" s="20" t="n">
        <x:v>0</x:v>
      </x:c>
      <x:c r="L31" s="20" t="n">
        <x:v>0</x:v>
      </x:c>
      <x:c r="M31" s="23" t="n">
        <x:f>SUM(H31:L31)</x:f>
        <x:v>3</x:v>
      </x:c>
      <x:c r="N31" s="20" t="n">
        <x:v>5</x:v>
      </x:c>
      <x:c r="O31" s="16" t="str">
        <x:v>A</x:v>
      </x:c>
      <x:c r="P31" s="16" t="str">
        <x:v>继承候选</x:v>
      </x:c>
      <x:c r="Q31" s="16" t="str">
        <x:v>本地序列器、逻辑/ADC数字电源</x:v>
      </x:c>
      <x:c r="R31" s="16" t="str">
        <x:v>电磁辐射、EMI/启动序列</x:v>
      </x:c>
      <x:c r="S31" s="16" t="str">
        <x:v>立创商城/授权渠道待查</x:v>
      </x:c>
      <x:c r="T31" s="16" t="str">
        <x:v>https://www.diodes.com/part/view/AP63203</x:v>
      </x:c>
      <x:c r="U31" s="16" t="str"/>
    </x:row>
    <x:row r="32" ht="43" customHeight="1">
      <x:c r="A32" s="16" t="str">
        <x:v>B-028</x:v>
      </x:c>
      <x:c r="B32" s="16" t="str">
        <x:v>电源变换</x:v>
      </x:c>
      <x:c r="C32" s="16" t="str">
        <x:v>上下阵列/中央</x:v>
      </x:c>
      <x:c r="D32" s="16" t="str">
        <x:v>5.5V可调DC/DC</x:v>
      </x:c>
      <x:c r="E32" s="16" t="str">
        <x:v>AP63200WU-7</x:v>
      </x:c>
      <x:c r="F32" s="16" t="str">
        <x:v>5.5V预稳压+5V LDO；按实际负载核验</x:v>
      </x:c>
      <x:c r="G32" s="16" t="str">
        <x:v>TSOT-26</x:v>
      </x:c>
      <x:c r="H32" s="20" t="n">
        <x:v>1</x:v>
      </x:c>
      <x:c r="I32" s="20" t="n">
        <x:v>1</x:v>
      </x:c>
      <x:c r="J32" s="20" t="n">
        <x:v>1</x:v>
      </x:c>
      <x:c r="K32" s="20" t="n">
        <x:v>0</x:v>
      </x:c>
      <x:c r="L32" s="20" t="n">
        <x:v>0</x:v>
      </x:c>
      <x:c r="M32" s="23" t="n">
        <x:f>SUM(H32:L32)</x:f>
        <x:v>3</x:v>
      </x:c>
      <x:c r="N32" s="20" t="n">
        <x:v>5</x:v>
      </x:c>
      <x:c r="O32" s="16" t="str">
        <x:v>A</x:v>
      </x:c>
      <x:c r="P32" s="16" t="str">
        <x:v>继承候选</x:v>
      </x:c>
      <x:c r="Q32" s="16" t="str">
        <x:v>本地低噪声5V前级</x:v>
      </x:c>
      <x:c r="R32" s="16" t="str">
        <x:v>阻值、热耗、环路和电感需参考设计校核</x:v>
      </x:c>
      <x:c r="S32" s="16" t="str">
        <x:v>立创商城/授权渠道待查</x:v>
      </x:c>
      <x:c r="T32" s="16" t="str">
        <x:v>https://www.diodes.com/part/view/AP63200</x:v>
      </x:c>
      <x:c r="U32" s="16" t="str"/>
    </x:row>
    <x:row r="33" ht="43" customHeight="1">
      <x:c r="A33" s="16" t="str">
        <x:v>B-029</x:v>
      </x:c>
      <x:c r="B33" s="16" t="str">
        <x:v>电源变换</x:v>
      </x:c>
      <x:c r="C33" s="16" t="str">
        <x:v>上下阵列/中央</x:v>
      </x:c>
      <x:c r="D33" s="16" t="str">
        <x:v>5V低噪声LDO</x:v>
      </x:c>
      <x:c r="E33" s="16" t="str">
        <x:v>ADP7118ACPZN5.0-R7</x:v>
      </x:c>
      <x:c r="F33" s="16" t="str">
        <x:v>输出能力/热耗按精确封装与Iload审核</x:v>
      </x:c>
      <x:c r="G33" s="16" t="str">
        <x:v>LFCSP-8</x:v>
      </x:c>
      <x:c r="H33" s="20" t="n">
        <x:v>1</x:v>
      </x:c>
      <x:c r="I33" s="20" t="n">
        <x:v>1</x:v>
      </x:c>
      <x:c r="J33" s="20" t="n">
        <x:v>1</x:v>
      </x:c>
      <x:c r="K33" s="20" t="n">
        <x:v>0</x:v>
      </x:c>
      <x:c r="L33" s="20" t="n">
        <x:v>0</x:v>
      </x:c>
      <x:c r="M33" s="23" t="n">
        <x:f>SUM(H33:L33)</x:f>
        <x:v>3</x:v>
      </x:c>
      <x:c r="N33" s="20" t="n">
        <x:v>5</x:v>
      </x:c>
      <x:c r="O33" s="16" t="str">
        <x:v>A</x:v>
      </x:c>
      <x:c r="P33" s="16" t="str">
        <x:v>继承候选</x:v>
      </x:c>
      <x:c r="Q33" s="16" t="str">
        <x:v>运放模拟5V与ADC AVCC</x:v>
      </x:c>
      <x:c r="R33" s="16" t="str">
        <x:v>必须核对输入压差和热设计</x:v>
      </x:c>
      <x:c r="S33" s="16" t="str">
        <x:v>立创商城/授权渠道待查</x:v>
      </x:c>
      <x:c r="T33" s="16" t="str">
        <x:v>https://www.analog.com/en/products/adp7118.html</x:v>
      </x:c>
      <x:c r="U33" s="16" t="str"/>
    </x:row>
    <x:row r="34" ht="43" customHeight="1">
      <x:c r="A34" s="16" t="str">
        <x:v>B-030</x:v>
      </x:c>
      <x:c r="B34" s="16" t="str">
        <x:v>电源变换</x:v>
      </x:c>
      <x:c r="C34" s="16" t="str">
        <x:v>上下阵列/中央</x:v>
      </x:c>
      <x:c r="D34" s="16" t="str">
        <x:v>DC/DC功率电感</x:v>
      </x:c>
      <x:c r="E34" s="16" t="str">
        <x:v>6.8µH ≥5A 候选</x:v>
      </x:c>
      <x:c r="F34" s="16" t="str">
        <x:v>两路buck每板2颗</x:v>
      </x:c>
      <x:c r="G34" s="16" t="str">
        <x:v>SMD</x:v>
      </x:c>
      <x:c r="H34" s="20" t="n">
        <x:v>2</x:v>
      </x:c>
      <x:c r="I34" s="20" t="n">
        <x:v>2</x:v>
      </x:c>
      <x:c r="J34" s="20" t="n">
        <x:v>2</x:v>
      </x:c>
      <x:c r="K34" s="20" t="n">
        <x:v>0</x:v>
      </x:c>
      <x:c r="L34" s="20" t="n">
        <x:v>0</x:v>
      </x:c>
      <x:c r="M34" s="23" t="n">
        <x:f>SUM(H34:L34)</x:f>
        <x:v>6</x:v>
      </x:c>
      <x:c r="N34" s="20" t="n">
        <x:v>8</x:v>
      </x:c>
      <x:c r="O34" s="16" t="str">
        <x:v>A</x:v>
      </x:c>
      <x:c r="P34" s="16" t="str">
        <x:v>继承候选</x:v>
      </x:c>
      <x:c r="Q34" s="16" t="str">
        <x:v>3.3V/5.5V变换</x:v>
      </x:c>
      <x:c r="R34" s="16" t="str">
        <x:v>按厂家推荐L/C值与饱和电流确认</x:v>
      </x:c>
      <x:c r="S34" s="16" t="str">
        <x:v>立创商城/授权渠道待查</x:v>
      </x:c>
      <x:c r="T34" s="16" t="str">
        <x:v>https://www.diodes.com/part/view/AP63203</x:v>
      </x:c>
      <x:c r="U34" s="16" t="str"/>
    </x:row>
    <x:row r="35" ht="43" customHeight="1">
      <x:c r="A35" s="16" t="str">
        <x:v>B-031</x:v>
      </x:c>
      <x:c r="B35" s="16" t="str">
        <x:v>电源变换</x:v>
      </x:c>
      <x:c r="C35" s="16" t="str">
        <x:v>上下阵列/中央</x:v>
      </x:c>
      <x:c r="D35" s="16" t="str">
        <x:v>模拟电源磁珠</x:v>
      </x:c>
      <x:c r="E35" s="16" t="str">
        <x:v>BLM21PG221SN1D</x:v>
      </x:c>
      <x:c r="F35" s="16" t="str">
        <x:v>220Ω@100MHz / 2A 标称候选</x:v>
      </x:c>
      <x:c r="G35" s="16" t="str">
        <x:v>0805</x:v>
      </x:c>
      <x:c r="H35" s="20" t="n">
        <x:v>1</x:v>
      </x:c>
      <x:c r="I35" s="20" t="n">
        <x:v>1</x:v>
      </x:c>
      <x:c r="J35" s="20" t="n">
        <x:v>1</x:v>
      </x:c>
      <x:c r="K35" s="20" t="n">
        <x:v>0</x:v>
      </x:c>
      <x:c r="L35" s="20" t="n">
        <x:v>0</x:v>
      </x:c>
      <x:c r="M35" s="23" t="n">
        <x:f>SUM(H35:L35)</x:f>
        <x:v>3</x:v>
      </x:c>
      <x:c r="N35" s="20" t="n">
        <x:v>10</x:v>
      </x:c>
      <x:c r="O35" s="16" t="str">
        <x:v>A</x:v>
      </x:c>
      <x:c r="P35" s="16" t="str">
        <x:v>继承候选</x:v>
      </x:c>
      <x:c r="Q35" s="16" t="str">
        <x:v>高频隔离</x:v>
      </x:c>
      <x:c r="R35" s="16" t="str">
        <x:v>不准破坏模拟回流路径</x:v>
      </x:c>
      <x:c r="S35" s="16" t="str">
        <x:v>立创商城/授权渠道待查</x:v>
      </x:c>
      <x:c r="T35" s="16" t="str">
        <x:v>https://www.lcsc.com</x:v>
      </x:c>
      <x:c r="U35" s="16" t="str"/>
    </x:row>
    <x:row r="36" ht="43" customHeight="1">
      <x:c r="A36" s="16" t="str">
        <x:v>B-032</x:v>
      </x:c>
      <x:c r="B36" s="16" t="str">
        <x:v>传感器</x:v>
      </x:c>
      <x:c r="C36" s="16" t="str">
        <x:v>上下阵列/中央</x:v>
      </x:c>
      <x:c r="D36" s="16" t="str">
        <x:v>PCB板温监测</x:v>
      </x:c>
      <x:c r="E36" s="16" t="str">
        <x:v>TMP117MAIDRVR</x:v>
      </x:c>
      <x:c r="F36" s="16" t="str">
        <x:v>监测驱动温度，不等于空气温湿度</x:v>
      </x:c>
      <x:c r="G36" s="16" t="str">
        <x:v>WSON-6</x:v>
      </x:c>
      <x:c r="H36" s="20" t="n">
        <x:v>1</x:v>
      </x:c>
      <x:c r="I36" s="20" t="n">
        <x:v>1</x:v>
      </x:c>
      <x:c r="J36" s="20" t="n">
        <x:v>1</x:v>
      </x:c>
      <x:c r="K36" s="20" t="n">
        <x:v>0</x:v>
      </x:c>
      <x:c r="L36" s="20" t="n">
        <x:v>0</x:v>
      </x:c>
      <x:c r="M36" s="23" t="n">
        <x:f>SUM(H36:L36)</x:f>
        <x:v>3</x:v>
      </x:c>
      <x:c r="N36" s="20" t="n">
        <x:v>5</x:v>
      </x:c>
      <x:c r="O36" s="16" t="str">
        <x:v>A</x:v>
      </x:c>
      <x:c r="P36" s="16" t="str">
        <x:v>推荐</x:v>
      </x:c>
      <x:c r="Q36" s="16" t="str">
        <x:v>发射驱动过热告警</x:v>
      </x:c>
      <x:c r="R36" s="16" t="str">
        <x:v>注意I2C地址冲突/多域供电</x:v>
      </x:c>
      <x:c r="S36" s="16" t="str">
        <x:v>立创商城/授权渠道待查</x:v>
      </x:c>
      <x:c r="T36" s="16" t="str">
        <x:v>https://www.ti.com/product/TMP117</x:v>
      </x:c>
      <x:c r="U36" s="16" t="str"/>
    </x:row>
    <x:row r="37" ht="43" customHeight="1">
      <x:c r="A37" s="16" t="str">
        <x:v>B-033</x:v>
      </x:c>
      <x:c r="B37" s="16" t="str">
        <x:v>连接器</x:v>
      </x:c>
      <x:c r="C37" s="16" t="str">
        <x:v>中央接口采集板</x:v>
      </x:c>
      <x:c r="D37" s="16" t="str">
        <x:v>AX7020 J10/J11对接端子</x:v>
      </x:c>
      <x:c r="E37" s="16" t="str">
        <x:v>2×20 2.54mm 对应插座/转接线（按实板决定）</x:v>
      </x:c>
      <x:c r="F37" s="16" t="str">
        <x:v>2套对应PL扩展口；针脚编号必须实测</x:v>
      </x:c>
      <x:c r="G37" s="16" t="str">
        <x:v>THT/线束TBD</x:v>
      </x:c>
      <x:c r="H37" s="20" t="n">
        <x:v>0</x:v>
      </x:c>
      <x:c r="I37" s="20" t="n">
        <x:v>0</x:v>
      </x:c>
      <x:c r="J37" s="20" t="n">
        <x:v>2</x:v>
      </x:c>
      <x:c r="K37" s="20" t="n">
        <x:v>0</x:v>
      </x:c>
      <x:c r="L37" s="20" t="n">
        <x:v>0</x:v>
      </x:c>
      <x:c r="M37" s="23" t="n">
        <x:f>SUM(H37:L37)</x:f>
        <x:v>2</x:v>
      </x:c>
      <x:c r="N37" s="20" t="n">
        <x:v>4</x:v>
      </x:c>
      <x:c r="O37" s="16" t="str">
        <x:v>A</x:v>
      </x:c>
      <x:c r="P37" s="16" t="str">
        <x:v>接口必需/未冻结</x:v>
      </x:c>
      <x:c r="Q37" s="16" t="str">
        <x:v>PS/PL GPIO数据交换，禁止供电到阵列</x:v>
      </x:c>
      <x:c r="R37" s="16" t="str">
        <x:v>必须核对34可用IO/接口朝向/Bank34/35 VCCO</x:v>
      </x:c>
      <x:c r="S37" s="16" t="str">
        <x:v>立创商城/授权渠道待查</x:v>
      </x:c>
      <x:c r="T37" s="16" t="str">
        <x:v>https://www.alinx.com/public/upload/file/AX7020_UG.pdf</x:v>
      </x:c>
      <x:c r="U37" s="16" t="str"/>
    </x:row>
    <x:row r="38" ht="43" customHeight="1">
      <x:c r="A38" s="16" t="str">
        <x:v>B-034</x:v>
      </x:c>
      <x:c r="B38" s="16" t="str">
        <x:v>连接器</x:v>
      </x:c>
      <x:c r="C38" s="16" t="str">
        <x:v>上下阵列</x:v>
      </x:c>
      <x:c r="D38" s="16" t="str">
        <x:v>50芯独立数据接头</x:v>
      </x:c>
      <x:c r="E38" s="16" t="str">
        <x:v>2×25 IDC防呆（候选）</x:v>
      </x:c>
      <x:c r="F38" s="16" t="str">
        <x:v>每板1个，高速数据+GND相邻，不能当成最终可用66MHz</x:v>
      </x:c>
      <x:c r="G38" s="16" t="str">
        <x:v>THT</x:v>
      </x:c>
      <x:c r="H38" s="20" t="n">
        <x:v>1</x:v>
      </x:c>
      <x:c r="I38" s="20" t="n">
        <x:v>1</x:v>
      </x:c>
      <x:c r="J38" s="20" t="n">
        <x:v>0</x:v>
      </x:c>
      <x:c r="K38" s="20" t="n">
        <x:v>0</x:v>
      </x:c>
      <x:c r="L38" s="20" t="n">
        <x:v>0</x:v>
      </x:c>
      <x:c r="M38" s="23" t="n">
        <x:f>SUM(H38:L38)</x:f>
        <x:v>2</x:v>
      </x:c>
      <x:c r="N38" s="20" t="n">
        <x:v>4</x:v>
      </x:c>
      <x:c r="O38" s="16" t="str">
        <x:v>A</x:v>
      </x:c>
      <x:c r="P38" s="16" t="str">
        <x:v>原方案/高风险未验证</x:v>
      </x:c>
      <x:c r="Q38" s="16" t="str">
        <x:v>数字数据及同步、使能、故障反馈</x:v>
      </x:c>
      <x:c r="R38" s="16" t="str">
        <x:v>受约束源同步接口；需要真实测试或重新选择连接方式</x:v>
      </x:c>
      <x:c r="S38" s="16" t="str">
        <x:v>立创商城/授权渠道待查</x:v>
      </x:c>
      <x:c r="T38" s="16" t="str">
        <x:v>https://www.lcsc.com/custom-cable-assembly</x:v>
      </x:c>
      <x:c r="U38" s="16" t="str"/>
    </x:row>
    <x:row r="39" ht="43" customHeight="1">
      <x:c r="A39" s="16" t="str">
        <x:v>B-035</x:v>
      </x:c>
      <x:c r="B39" s="16" t="str">
        <x:v>连接器</x:v>
      </x:c>
      <x:c r="C39" s="16" t="str">
        <x:v>中央接口采集板</x:v>
      </x:c>
      <x:c r="D39" s="16" t="str">
        <x:v>数字数据扇出接口</x:v>
      </x:c>
      <x:c r="E39" s="16" t="str">
        <x:v>2×25 IDC防呆（候选）</x:v>
      </x:c>
      <x:c r="F39" s="16" t="str">
        <x:v>上下各一个，配合Array接口</x:v>
      </x:c>
      <x:c r="G39" s="16" t="str">
        <x:v>THT</x:v>
      </x:c>
      <x:c r="H39" s="20" t="n">
        <x:v>0</x:v>
      </x:c>
      <x:c r="I39" s="20" t="n">
        <x:v>0</x:v>
      </x:c>
      <x:c r="J39" s="20" t="n">
        <x:v>2</x:v>
      </x:c>
      <x:c r="K39" s="20" t="n">
        <x:v>0</x:v>
      </x:c>
      <x:c r="L39" s="20" t="n">
        <x:v>0</x:v>
      </x:c>
      <x:c r="M39" s="23" t="n">
        <x:f>SUM(H39:L39)</x:f>
        <x:v>2</x:v>
      </x:c>
      <x:c r="N39" s="20" t="n">
        <x:v>4</x:v>
      </x:c>
      <x:c r="O39" s="16" t="str">
        <x:v>A</x:v>
      </x:c>
      <x:c r="P39" s="16" t="str">
        <x:v>候选</x:v>
      </x:c>
      <x:c r="Q39" s="16" t="str">
        <x:v>分发上/下独立控制链</x:v>
      </x:c>
      <x:c r="R39" s="16" t="str">
        <x:v>中央板到阵列线束长度按SI验证</x:v>
      </x:c>
      <x:c r="S39" s="16" t="str">
        <x:v>立创商城/授权渠道待查</x:v>
      </x:c>
      <x:c r="T39" s="16" t="str">
        <x:v>https://www.lcsc.com/custom-cable-assembly</x:v>
      </x:c>
      <x:c r="U39" s="16" t="str"/>
    </x:row>
    <x:row r="40" ht="43" customHeight="1">
      <x:c r="A40" s="16" t="str">
        <x:v>B-036</x:v>
      </x:c>
      <x:c r="B40" s="16" t="str">
        <x:v>连接器</x:v>
      </x:c>
      <x:c r="C40" s="16" t="str">
        <x:v>上下阵列/中央</x:v>
      </x:c>
      <x:c r="D40" s="16" t="str">
        <x:v>8芯4对模拟RX接口</x:v>
      </x:c>
      <x:c r="E40" s="16" t="str">
        <x:v>不带变压器的被动8P8C/屏蔽连接器</x:v>
      </x:c>
      <x:c r="F40" s="16" t="str">
        <x:v>上/下阵列各1个，中央2个，明确标非以太网</x:v>
      </x:c>
      <x:c r="G40" s="16" t="str">
        <x:v>THT</x:v>
      </x:c>
      <x:c r="H40" s="20" t="n">
        <x:v>1</x:v>
      </x:c>
      <x:c r="I40" s="20" t="n">
        <x:v>1</x:v>
      </x:c>
      <x:c r="J40" s="20" t="n">
        <x:v>2</x:v>
      </x:c>
      <x:c r="K40" s="20" t="n">
        <x:v>0</x:v>
      </x:c>
      <x:c r="L40" s="20" t="n">
        <x:v>0</x:v>
      </x:c>
      <x:c r="M40" s="23" t="n">
        <x:f>SUM(H40:L40)</x:f>
        <x:v>4</x:v>
      </x:c>
      <x:c r="N40" s="20" t="n">
        <x:v>6</x:v>
      </x:c>
      <x:c r="O40" s="16" t="str">
        <x:v>A</x:v>
      </x:c>
      <x:c r="P40" s="16" t="str">
        <x:v>继承候选</x:v>
      </x:c>
      <x:c r="Q40" s="16" t="str">
        <x:v>4RX信号+4地回流</x:v>
      </x:c>
      <x:c r="R40" s="16" t="str">
        <x:v>不可插入以太网网络设备; 需要编码防误插</x:v>
      </x:c>
      <x:c r="S40" s="16" t="str">
        <x:v>立创商城/授权渠道待查</x:v>
      </x:c>
      <x:c r="T40" s="16" t="str">
        <x:v>https://www.lcsc.com</x:v>
      </x:c>
      <x:c r="U40" s="16" t="str"/>
    </x:row>
    <x:row r="41" ht="43" customHeight="1">
      <x:c r="A41" s="16" t="str">
        <x:v>B-037</x:v>
      </x:c>
      <x:c r="B41" s="16" t="str">
        <x:v>连接器</x:v>
      </x:c>
      <x:c r="C41" s="16" t="str">
        <x:v>中央接口采集板</x:v>
      </x:c>
      <x:c r="D41" s="16" t="str">
        <x:v>远端I2C环境传感器插座</x:v>
      </x:c>
      <x:c r="E41" s="16" t="str">
        <x:v>JST XH 4P</x:v>
      </x:c>
      <x:c r="F41" s="16" t="str">
        <x:v>3.3V/GND/SDA/SCL；电源来自中央辅助电源</x:v>
      </x:c>
      <x:c r="G41" s="16" t="str">
        <x:v>THT</x:v>
      </x:c>
      <x:c r="H41" s="20" t="n">
        <x:v>0</x:v>
      </x:c>
      <x:c r="I41" s="20" t="n">
        <x:v>0</x:v>
      </x:c>
      <x:c r="J41" s="20" t="n">
        <x:v>1</x:v>
      </x:c>
      <x:c r="K41" s="20" t="n">
        <x:v>0</x:v>
      </x:c>
      <x:c r="L41" s="20" t="n">
        <x:v>0</x:v>
      </x:c>
      <x:c r="M41" s="23" t="n">
        <x:f>SUM(H41:L41)</x:f>
        <x:v>1</x:v>
      </x:c>
      <x:c r="N41" s="20" t="n">
        <x:v>3</x:v>
      </x:c>
      <x:c r="O41" s="16" t="str">
        <x:v>A</x:v>
      </x:c>
      <x:c r="P41" s="16" t="str">
        <x:v>继承候选</x:v>
      </x:c>
      <x:c r="Q41" s="16" t="str">
        <x:v>连接远端SHT45板</x:v>
      </x:c>
      <x:c r="R41" s="16" t="str">
        <x:v>I2C串扰/上拉/线束长度需核算</x:v>
      </x:c>
      <x:c r="S41" s="16" t="str">
        <x:v>立创商城/授权渠道待查</x:v>
      </x:c>
      <x:c r="T41" s="16" t="str">
        <x:v>https://www.lcsc.com</x:v>
      </x:c>
      <x:c r="U41" s="16" t="str"/>
    </x:row>
    <x:row r="42" ht="43" customHeight="1">
      <x:c r="A42" s="16" t="str">
        <x:v>B-038</x:v>
      </x:c>
      <x:c r="B42" s="16" t="str">
        <x:v>连接器</x:v>
      </x:c>
      <x:c r="C42" s="16" t="str">
        <x:v>远端环境板</x:v>
      </x:c>
      <x:c r="D42" s="16" t="str">
        <x:v>远端I2C接口</x:v>
      </x:c>
      <x:c r="E42" s="16" t="str">
        <x:v>JST XH 4P</x:v>
      </x:c>
      <x:c r="F42" s="16" t="str">
        <x:v>XH 4pin端子</x:v>
      </x:c>
      <x:c r="G42" s="16" t="str">
        <x:v>THT</x:v>
      </x:c>
      <x:c r="H42" s="20" t="n">
        <x:v>0</x:v>
      </x:c>
      <x:c r="I42" s="20" t="n">
        <x:v>0</x:v>
      </x:c>
      <x:c r="J42" s="20" t="n">
        <x:v>0</x:v>
      </x:c>
      <x:c r="K42" s="20" t="n">
        <x:v>1</x:v>
      </x:c>
      <x:c r="L42" s="20" t="n">
        <x:v>0</x:v>
      </x:c>
      <x:c r="M42" s="23" t="n">
        <x:f>SUM(H42:L42)</x:f>
        <x:v>1</x:v>
      </x:c>
      <x:c r="N42" s="20" t="n">
        <x:v>3</x:v>
      </x:c>
      <x:c r="O42" s="16" t="str">
        <x:v>A</x:v>
      </x:c>
      <x:c r="P42" s="16" t="str">
        <x:v>继承</x:v>
      </x:c>
      <x:c r="Q42" s="16" t="str">
        <x:v>SHT45接口</x:v>
      </x:c>
      <x:c r="R42" s="16" t="str">
        <x:v>防呆及引脚顺序</x:v>
      </x:c>
      <x:c r="S42" s="16" t="str">
        <x:v>立创商城/授权渠道待查</x:v>
      </x:c>
      <x:c r="T42" s="16" t="str">
        <x:v>https://www.lcsc.com</x:v>
      </x:c>
      <x:c r="U42" s="16" t="str"/>
    </x:row>
    <x:row r="43" ht="43" customHeight="1">
      <x:c r="A43" s="16" t="str">
        <x:v>B-039</x:v>
      </x:c>
      <x:c r="B43" s="16" t="str">
        <x:v>线束</x:v>
      </x:c>
      <x:c r="C43" s="16" t="str">
        <x:v>外置</x:v>
      </x:c>
      <x:c r="D43" s="16" t="str">
        <x:v>上下独立电源线束</x:v>
      </x:c>
      <x:c r="E43" s="16" t="str">
        <x:v>XT30 2P线束 18AWG（线径TBD）</x:v>
      </x:c>
      <x:c r="F43" s="16" t="str">
        <x:v>各板单独从外置供电装置接线</x:v>
      </x:c>
      <x:c r="G43" s="16" t="str">
        <x:v>外置</x:v>
      </x:c>
      <x:c r="H43" s="20" t="n">
        <x:v>0</x:v>
      </x:c>
      <x:c r="I43" s="20" t="n">
        <x:v>0</x:v>
      </x:c>
      <x:c r="J43" s="20" t="n">
        <x:v>0</x:v>
      </x:c>
      <x:c r="K43" s="20" t="n">
        <x:v>0</x:v>
      </x:c>
      <x:c r="L43" s="20" t="n">
        <x:v>2</x:v>
      </x:c>
      <x:c r="M43" s="23" t="n">
        <x:f>SUM(H43:L43)</x:f>
        <x:v>2</x:v>
      </x:c>
      <x:c r="N43" s="20" t="n">
        <x:v>4</x:v>
      </x:c>
      <x:c r="O43" s="16" t="str">
        <x:v>A</x:v>
      </x:c>
      <x:c r="P43" s="16" t="str">
        <x:v>新增必需</x:v>
      </x:c>
      <x:c r="Q43" s="16" t="str">
        <x:v>独立供电到两个阵列</x:v>
      </x:c>
      <x:c r="R43" s="16" t="str">
        <x:v>禁止由AX7020扩展排针供12V/5V</x:v>
      </x:c>
      <x:c r="S43" s="16" t="str">
        <x:v>立创商城/授权渠道待查</x:v>
      </x:c>
      <x:c r="T43" s="16" t="str">
        <x:v>https://www.lcsc.com/custom-cable-assembly</x:v>
      </x:c>
      <x:c r="U43" s="16" t="str"/>
    </x:row>
    <x:row r="44" ht="43" customHeight="1">
      <x:c r="A44" s="16" t="str">
        <x:v>B-040</x:v>
      </x:c>
      <x:c r="B44" s="16" t="str">
        <x:v>线束</x:v>
      </x:c>
      <x:c r="C44" s="16" t="str">
        <x:v>外置</x:v>
      </x:c>
      <x:c r="D44" s="16" t="str">
        <x:v>中央辅助电源线束</x:v>
      </x:c>
      <x:c r="E44" s="16" t="str">
        <x:v>XT30 2P线束</x:v>
      </x:c>
      <x:c r="F44" s="16" t="str">
        <x:v>独立于两阵列的ADC/逻辑输入</x:v>
      </x:c>
      <x:c r="G44" s="16" t="str">
        <x:v>外置</x:v>
      </x:c>
      <x:c r="H44" s="20" t="n">
        <x:v>0</x:v>
      </x:c>
      <x:c r="I44" s="20" t="n">
        <x:v>0</x:v>
      </x:c>
      <x:c r="J44" s="20" t="n">
        <x:v>0</x:v>
      </x:c>
      <x:c r="K44" s="20" t="n">
        <x:v>0</x:v>
      </x:c>
      <x:c r="L44" s="20" t="n">
        <x:v>1</x:v>
      </x:c>
      <x:c r="M44" s="23" t="n">
        <x:f>SUM(H44:L44)</x:f>
        <x:v>1</x:v>
      </x:c>
      <x:c r="N44" s="20" t="n">
        <x:v>2</x:v>
      </x:c>
      <x:c r="O44" s="16" t="str">
        <x:v>A</x:v>
      </x:c>
      <x:c r="P44" s="16" t="str">
        <x:v>推荐</x:v>
      </x:c>
      <x:c r="Q44" s="16" t="str">
        <x:v>中央ADC/采集PCB供电</x:v>
      </x:c>
      <x:c r="R44" s="16" t="str">
        <x:v>同地不同电源，严格避免地线高脉冲电流穿模拟线</x:v>
      </x:c>
      <x:c r="S44" s="16" t="str">
        <x:v>立创商城/授权渠道待查</x:v>
      </x:c>
      <x:c r="T44" s="16" t="str">
        <x:v>https://www.lcsc.com/custom-cable-assembly</x:v>
      </x:c>
      <x:c r="U44" s="16" t="str"/>
    </x:row>
    <x:row r="45" ht="43" customHeight="1">
      <x:c r="A45" s="16" t="str">
        <x:v>B-041</x:v>
      </x:c>
      <x:c r="B45" s="16" t="str">
        <x:v>线束</x:v>
      </x:c>
      <x:c r="C45" s="16" t="str">
        <x:v>外置</x:v>
      </x:c>
      <x:c r="D45" s="16" t="str">
        <x:v>上/下数字线束</x:v>
      </x:c>
      <x:c r="E45" s="16" t="str">
        <x:v>50芯IDC定长≤20cm仅初选</x:v>
      </x:c>
      <x:c r="F45" s="16" t="str">
        <x:v>每阵列1条；需屏蔽/回流/时序验证</x:v>
      </x:c>
      <x:c r="G45" s="16" t="str">
        <x:v>线束</x:v>
      </x:c>
      <x:c r="H45" s="20" t="n">
        <x:v>0</x:v>
      </x:c>
      <x:c r="I45" s="20" t="n">
        <x:v>0</x:v>
      </x:c>
      <x:c r="J45" s="20" t="n">
        <x:v>0</x:v>
      </x:c>
      <x:c r="K45" s="20" t="n">
        <x:v>0</x:v>
      </x:c>
      <x:c r="L45" s="20" t="n">
        <x:v>2</x:v>
      </x:c>
      <x:c r="M45" s="23" t="n">
        <x:f>SUM(H45:L45)</x:f>
        <x:v>2</x:v>
      </x:c>
      <x:c r="N45" s="20" t="n">
        <x:v>3</x:v>
      </x:c>
      <x:c r="O45" s="16" t="str">
        <x:v>A</x:v>
      </x:c>
      <x:c r="P45" s="16" t="str">
        <x:v>候选/高风险</x:v>
      </x:c>
      <x:c r="Q45" s="16" t="str">
        <x:v>FPGA控制到阵列</x:v>
      </x:c>
      <x:c r="R45" s="16" t="str">
        <x:v>66MHz移位总线通过排线不能无验证保证SI</x:v>
      </x:c>
      <x:c r="S45" s="16" t="str">
        <x:v>立创商城/授权渠道待查</x:v>
      </x:c>
      <x:c r="T45" s="16" t="str">
        <x:v>https://www.lcsc.com/custom-cable-assembly</x:v>
      </x:c>
      <x:c r="U45" s="16" t="str"/>
    </x:row>
    <x:row r="46" ht="43" customHeight="1">
      <x:c r="A46" s="16" t="str">
        <x:v>B-042</x:v>
      </x:c>
      <x:c r="B46" s="16" t="str">
        <x:v>线束</x:v>
      </x:c>
      <x:c r="C46" s="16" t="str">
        <x:v>外置</x:v>
      </x:c>
      <x:c r="D46" s="16" t="str">
        <x:v>上/下RX信号线束</x:v>
      </x:c>
      <x:c r="E46" s="16" t="str">
        <x:v>屏蔽4对模拟线（独立专用）</x:v>
      </x:c>
      <x:c r="F46" s="16" t="str">
        <x:v>每阵列1条；建议远离TX与功率</x:v>
      </x:c>
      <x:c r="G46" s="16" t="str">
        <x:v>线束</x:v>
      </x:c>
      <x:c r="H46" s="20" t="n">
        <x:v>0</x:v>
      </x:c>
      <x:c r="I46" s="20" t="n">
        <x:v>0</x:v>
      </x:c>
      <x:c r="J46" s="20" t="n">
        <x:v>0</x:v>
      </x:c>
      <x:c r="K46" s="20" t="n">
        <x:v>0</x:v>
      </x:c>
      <x:c r="L46" s="20" t="n">
        <x:v>2</x:v>
      </x:c>
      <x:c r="M46" s="23" t="n">
        <x:f>SUM(H46:L46)</x:f>
        <x:v>2</x:v>
      </x:c>
      <x:c r="N46" s="20" t="n">
        <x:v>3</x:v>
      </x:c>
      <x:c r="O46" s="16" t="str">
        <x:v>A</x:v>
      </x:c>
      <x:c r="P46" s="16" t="str">
        <x:v>候选</x:v>
      </x:c>
      <x:c r="Q46" s="16" t="str">
        <x:v>模拟4ch返回中央ADC</x:v>
      </x:c>
      <x:c r="R46" s="16" t="str">
        <x:v>端接屏蔽方式与接地需测试</x:v>
      </x:c>
      <x:c r="S46" s="16" t="str">
        <x:v>立创商城/授权渠道待查</x:v>
      </x:c>
      <x:c r="T46" s="16" t="str">
        <x:v>https://www.lcsc.com/custom-cable-assembly</x:v>
      </x:c>
      <x:c r="U46" s="16" t="str"/>
    </x:row>
    <x:row r="47" ht="43" customHeight="1">
      <x:c r="A47" s="16" t="str">
        <x:v>B-043</x:v>
      </x:c>
      <x:c r="B47" s="16" t="str">
        <x:v>线束</x:v>
      </x:c>
      <x:c r="C47" s="16" t="str">
        <x:v>外置</x:v>
      </x:c>
      <x:c r="D47" s="16" t="str">
        <x:v>AX7020到中央适配线束</x:v>
      </x:c>
      <x:c r="E47" s="16" t="str">
        <x:v>J10/J11对应双40针连接（实板决定）</x:v>
      </x:c>
      <x:c r="F47" s="16" t="str">
        <x:v>连通PS/PL，无功率路径</x:v>
      </x:c>
      <x:c r="G47" s="16" t="str">
        <x:v>线束</x:v>
      </x:c>
      <x:c r="H47" s="20" t="n">
        <x:v>0</x:v>
      </x:c>
      <x:c r="I47" s="20" t="n">
        <x:v>0</x:v>
      </x:c>
      <x:c r="J47" s="20" t="n">
        <x:v>0</x:v>
      </x:c>
      <x:c r="K47" s="20" t="n">
        <x:v>0</x:v>
      </x:c>
      <x:c r="L47" s="20" t="n">
        <x:v>2</x:v>
      </x:c>
      <x:c r="M47" s="23" t="n">
        <x:f>SUM(H47:L47)</x:f>
        <x:v>2</x:v>
      </x:c>
      <x:c r="N47" s="20" t="n">
        <x:v>3</x:v>
      </x:c>
      <x:c r="O47" s="16" t="str">
        <x:v>A</x:v>
      </x:c>
      <x:c r="P47" s="16" t="str">
        <x:v>待实板尺寸</x:v>
      </x:c>
      <x:c r="Q47" s="16" t="str">
        <x:v>控制信号传输</x:v>
      </x:c>
      <x:c r="R47" s="16" t="str">
        <x:v>只在匹配板号插针验证后制作</x:v>
      </x:c>
      <x:c r="S47" s="16" t="str">
        <x:v>立创商城/授权渠道待查</x:v>
      </x:c>
      <x:c r="T47" s="16" t="str">
        <x:v>https://www.alinx.com/public/upload/file/AX7020_UG.pdf</x:v>
      </x:c>
      <x:c r="U47" s="16" t="str"/>
    </x:row>
    <x:row r="48" ht="43" customHeight="1">
      <x:c r="A48" s="16" t="str">
        <x:v>B-044</x:v>
      </x:c>
      <x:c r="B48" s="16" t="str">
        <x:v>外设</x:v>
      </x:c>
      <x:c r="C48" s="16" t="str">
        <x:v>外置</x:v>
      </x:c>
      <x:c r="D48" s="16" t="str">
        <x:v>双路限流可调直流电源</x:v>
      </x:c>
      <x:c r="E48" s="16" t="str">
        <x:v>实验室双输出 / 两个隔离电源 12V</x:v>
      </x:c>
      <x:c r="F48" s="16" t="str">
        <x:v>两个阵列独立可断电、可调限流</x:v>
      </x:c>
      <x:c r="G48" s="16" t="str">
        <x:v>设备</x:v>
      </x:c>
      <x:c r="H48" s="20" t="n">
        <x:v>0</x:v>
      </x:c>
      <x:c r="I48" s="20" t="n">
        <x:v>0</x:v>
      </x:c>
      <x:c r="J48" s="20" t="n">
        <x:v>0</x:v>
      </x:c>
      <x:c r="K48" s="20" t="n">
        <x:v>0</x:v>
      </x:c>
      <x:c r="L48" s="20" t="n">
        <x:v>1</x:v>
      </x:c>
      <x:c r="M48" s="23" t="n">
        <x:f>SUM(H48:L48)</x:f>
        <x:v>1</x:v>
      </x:c>
      <x:c r="N48" s="20" t="n">
        <x:v>1</x:v>
      </x:c>
      <x:c r="O48" s="16" t="str">
        <x:v>P0</x:v>
      </x:c>
      <x:c r="P48" s="16" t="str">
        <x:v>推荐先备</x:v>
      </x:c>
      <x:c r="Q48" s="16" t="str">
        <x:v>验证独立供电与浪涌</x:v>
      </x:c>
      <x:c r="R48" s="16" t="str">
        <x:v>若使用一台电源也必须独立分支+保险；不能宣称独立完全隔离</x:v>
      </x:c>
      <x:c r="S48" s="16" t="str">
        <x:v>立创商城/授权渠道待查</x:v>
      </x:c>
      <x:c r="T48" s="16" t="str">
        <x:v>https://www.meanwell.com/webapp/product/search.aspx?prod=GST120A</x:v>
      </x:c>
      <x:c r="U48" s="16" t="str"/>
    </x:row>
    <x:row r="49" ht="43" customHeight="1">
      <x:c r="A49" s="16" t="str">
        <x:v>B-045</x:v>
      </x:c>
      <x:c r="B49" s="16" t="str">
        <x:v>外设</x:v>
      </x:c>
      <x:c r="C49" s="16" t="str">
        <x:v>外置</x:v>
      </x:c>
      <x:c r="D49" s="16" t="str">
        <x:v>AX7020官方匹配电源适配器</x:v>
      </x:c>
      <x:c r="E49" s="16" t="str">
        <x:v>ALINX规定DC 5V配件</x:v>
      </x:c>
      <x:c r="F49" s="16" t="str">
        <x:v>主控保持其原厂供电，外部阵列不占板载供电</x:v>
      </x:c>
      <x:c r="G49" s="16" t="str">
        <x:v>设备</x:v>
      </x:c>
      <x:c r="H49" s="20" t="n">
        <x:v>0</x:v>
      </x:c>
      <x:c r="I49" s="20" t="n">
        <x:v>0</x:v>
      </x:c>
      <x:c r="J49" s="20" t="n">
        <x:v>0</x:v>
      </x:c>
      <x:c r="K49" s="20" t="n">
        <x:v>0</x:v>
      </x:c>
      <x:c r="L49" s="20" t="n">
        <x:v>1</x:v>
      </x:c>
      <x:c r="M49" s="23" t="n">
        <x:f>SUM(H49:L49)</x:f>
        <x:v>1</x:v>
      </x:c>
      <x:c r="N49" s="20" t="n">
        <x:v>1</x:v>
      </x:c>
      <x:c r="O49" s="16" t="str">
        <x:v>A</x:v>
      </x:c>
      <x:c r="P49" s="16" t="str">
        <x:v>仅既有设备</x:v>
      </x:c>
      <x:c r="Q49" s="16" t="str">
        <x:v>AX7020单独上电</x:v>
      </x:c>
      <x:c r="R49" s="16" t="str">
        <x:v>严禁12V直连AX7020 5V插孔</x:v>
      </x:c>
      <x:c r="S49" s="16" t="str">
        <x:v>立创商城/授权渠道待查</x:v>
      </x:c>
      <x:c r="T49" s="16" t="str">
        <x:v>https://www.alinx.com/public/upload/file/AX7020_UG.pdf</x:v>
      </x:c>
      <x:c r="U49" s="16" t="str"/>
    </x:row>
    <x:row r="50" ht="43" customHeight="1">
      <x:c r="A50" s="16" t="str">
        <x:v>B-046</x:v>
      </x:c>
      <x:c r="B50" s="16" t="str">
        <x:v>无源件</x:v>
      </x:c>
      <x:c r="C50" s="16" t="str">
        <x:v>阵列/中央/传感器</x:v>
      </x:c>
      <x:c r="D50" s="16" t="str">
        <x:v>100nF去耦电容</x:v>
      </x:c>
      <x:c r="E50" s="16" t="str">
        <x:v>100nF 50V X7R</x:v>
      </x:c>
      <x:c r="F50" s="16" t="str">
        <x:v>按原v5零件计数移植；新布板新增保护网路另计</x:v>
      </x:c>
      <x:c r="G50" s="16" t="str">
        <x:v>0603</x:v>
      </x:c>
      <x:c r="H50" s="20" t="n">
        <x:v>71</x:v>
      </x:c>
      <x:c r="I50" s="20" t="n">
        <x:v>71</x:v>
      </x:c>
      <x:c r="J50" s="20" t="n">
        <x:v>21</x:v>
      </x:c>
      <x:c r="K50" s="20" t="n">
        <x:v>1</x:v>
      </x:c>
      <x:c r="L50" s="20" t="n">
        <x:v>0</x:v>
      </x:c>
      <x:c r="M50" s="23" t="n">
        <x:f>SUM(H50:L50)</x:f>
        <x:v>164</x:v>
      </x:c>
      <x:c r="N50" s="20" t="n">
        <x:v>220</x:v>
      </x:c>
      <x:c r="O50" s="16" t="str">
        <x:v>A</x:v>
      </x:c>
      <x:c r="P50" s="16" t="str">
        <x:v>参考数量/原理图重计</x:v>
      </x:c>
      <x:c r="Q50" s="16" t="str">
        <x:v>每颗IC引脚旁就近去耦</x:v>
      </x:c>
      <x:c r="R50" s="16" t="str">
        <x:v>数量是原BOM提案，最终以新原理图Netlist自动回算</x:v>
      </x:c>
      <x:c r="S50" s="16" t="str">
        <x:v>立创商城/授权渠道待查</x:v>
      </x:c>
      <x:c r="T50" s="16" t="str">
        <x:v>https://github.com/loverlike1216/SonoField-FPGA/blob/main/v5/hardware/bom/BOM_MASTER.csv</x:v>
      </x:c>
      <x:c r="U50" s="16" t="str"/>
    </x:row>
    <x:row r="51" ht="43" customHeight="1">
      <x:c r="A51" s="16" t="str">
        <x:v>B-047</x:v>
      </x:c>
      <x:c r="B51" s="16" t="str">
        <x:v>无源件</x:v>
      </x:c>
      <x:c r="C51" s="16" t="str">
        <x:v>阵列/中央/传感器</x:v>
      </x:c>
      <x:c r="D51" s="16" t="str">
        <x:v>1µF驱动储能</x:v>
      </x:c>
      <x:c r="E51" s="16" t="str">
        <x:v>1µF 25V X7R</x:v>
      </x:c>
      <x:c r="F51" s="16" t="str">
        <x:v>按原v5零件计数移植；新布板新增保护网路另计</x:v>
      </x:c>
      <x:c r="G51" s="16" t="str">
        <x:v>0805</x:v>
      </x:c>
      <x:c r="H51" s="20" t="n">
        <x:v>33</x:v>
      </x:c>
      <x:c r="I51" s="20" t="n">
        <x:v>33</x:v>
      </x:c>
      <x:c r="J51" s="20" t="n">
        <x:v>2</x:v>
      </x:c>
      <x:c r="K51" s="20" t="n">
        <x:v>0</x:v>
      </x:c>
      <x:c r="L51" s="20" t="n">
        <x:v>0</x:v>
      </x:c>
      <x:c r="M51" s="23" t="n">
        <x:f>SUM(H51:L51)</x:f>
        <x:v>68</x:v>
      </x:c>
      <x:c r="N51" s="20" t="n">
        <x:v>80</x:v>
      </x:c>
      <x:c r="O51" s="16" t="str">
        <x:v>A</x:v>
      </x:c>
      <x:c r="P51" s="16" t="str">
        <x:v>参考数量/原理图重计</x:v>
      </x:c>
      <x:c r="Q51" s="16" t="str">
        <x:v>驱动近端局部储能</x:v>
      </x:c>
      <x:c r="R51" s="16" t="str">
        <x:v>数量是原BOM提案，最终以新原理图Netlist自动回算</x:v>
      </x:c>
      <x:c r="S51" s="16" t="str">
        <x:v>立创商城/授权渠道待查</x:v>
      </x:c>
      <x:c r="T51" s="16" t="str">
        <x:v>https://github.com/loverlike1216/SonoField-FPGA/blob/main/v5/hardware/bom/BOM_MASTER.csv</x:v>
      </x:c>
      <x:c r="U51" s="16" t="str"/>
    </x:row>
    <x:row r="52" ht="43" customHeight="1">
      <x:c r="A52" s="16" t="str">
        <x:v>B-048</x:v>
      </x:c>
      <x:c r="B52" s="16" t="str">
        <x:v>无源件</x:v>
      </x:c>
      <x:c r="C52" s="16" t="str">
        <x:v>阵列/中央/传感器</x:v>
      </x:c>
      <x:c r="D52" s="16" t="str">
        <x:v>22µF局部储能</x:v>
      </x:c>
      <x:c r="E52" s="16" t="str">
        <x:v>22µF 25V X7R</x:v>
      </x:c>
      <x:c r="F52" s="16" t="str">
        <x:v>按原v5零件计数移植；新布板新增保护网路另计</x:v>
      </x:c>
      <x:c r="G52" s="16" t="str">
        <x:v>1210</x:v>
      </x:c>
      <x:c r="H52" s="20" t="n">
        <x:v>12</x:v>
      </x:c>
      <x:c r="I52" s="20" t="n">
        <x:v>12</x:v>
      </x:c>
      <x:c r="J52" s="20" t="n">
        <x:v>4</x:v>
      </x:c>
      <x:c r="K52" s="20" t="n">
        <x:v>0</x:v>
      </x:c>
      <x:c r="L52" s="20" t="n">
        <x:v>0</x:v>
      </x:c>
      <x:c r="M52" s="23" t="n">
        <x:f>SUM(H52:L52)</x:f>
        <x:v>28</x:v>
      </x:c>
      <x:c r="N52" s="20" t="n">
        <x:v>36</x:v>
      </x:c>
      <x:c r="O52" s="16" t="str">
        <x:v>A</x:v>
      </x:c>
      <x:c r="P52" s="16" t="str">
        <x:v>参考数量/原理图重计</x:v>
      </x:c>
      <x:c r="Q52" s="16" t="str">
        <x:v>驱动/电源输出</x:v>
      </x:c>
      <x:c r="R52" s="16" t="str">
        <x:v>数量是原BOM提案，最终以新原理图Netlist自动回算</x:v>
      </x:c>
      <x:c r="S52" s="16" t="str">
        <x:v>立创商城/授权渠道待查</x:v>
      </x:c>
      <x:c r="T52" s="16" t="str">
        <x:v>https://github.com/loverlike1216/SonoField-FPGA/blob/main/v5/hardware/bom/BOM_MASTER.csv</x:v>
      </x:c>
      <x:c r="U52" s="16" t="str"/>
    </x:row>
    <x:row r="53" ht="43" customHeight="1">
      <x:c r="A53" s="16" t="str">
        <x:v>B-049</x:v>
      </x:c>
      <x:c r="B53" s="16" t="str">
        <x:v>无源件</x:v>
      </x:c>
      <x:c r="C53" s="16" t="str">
        <x:v>阵列/中央/传感器</x:v>
      </x:c>
      <x:c r="D53" s="16" t="str">
        <x:v>10µF输入去耦</x:v>
      </x:c>
      <x:c r="E53" s="16" t="str">
        <x:v>10µF 25V X7R</x:v>
      </x:c>
      <x:c r="F53" s="16" t="str">
        <x:v>按原v5零件计数移植；新布板新增保护网路另计</x:v>
      </x:c>
      <x:c r="G53" s="16" t="str">
        <x:v>1206</x:v>
      </x:c>
      <x:c r="H53" s="20" t="n">
        <x:v>3</x:v>
      </x:c>
      <x:c r="I53" s="20" t="n">
        <x:v>3</x:v>
      </x:c>
      <x:c r="J53" s="20" t="n">
        <x:v>5</x:v>
      </x:c>
      <x:c r="K53" s="20" t="n">
        <x:v>0</x:v>
      </x:c>
      <x:c r="L53" s="20" t="n">
        <x:v>0</x:v>
      </x:c>
      <x:c r="M53" s="23" t="n">
        <x:f>SUM(H53:L53)</x:f>
        <x:v>11</x:v>
      </x:c>
      <x:c r="N53" s="20" t="n">
        <x:v>20</x:v>
      </x:c>
      <x:c r="O53" s="16" t="str">
        <x:v>A</x:v>
      </x:c>
      <x:c r="P53" s="16" t="str">
        <x:v>参考数量/原理图重计</x:v>
      </x:c>
      <x:c r="Q53" s="16" t="str">
        <x:v>电源输入/ADC参考</x:v>
      </x:c>
      <x:c r="R53" s="16" t="str">
        <x:v>数量是原BOM提案，最终以新原理图Netlist自动回算</x:v>
      </x:c>
      <x:c r="S53" s="16" t="str">
        <x:v>立创商城/授权渠道待查</x:v>
      </x:c>
      <x:c r="T53" s="16" t="str">
        <x:v>https://github.com/loverlike1216/SonoField-FPGA/blob/main/v5/hardware/bom/BOM_MASTER.csv</x:v>
      </x:c>
      <x:c r="U53" s="16" t="str"/>
    </x:row>
    <x:row r="54" ht="43" customHeight="1">
      <x:c r="A54" s="16" t="str">
        <x:v>B-050</x:v>
      </x:c>
      <x:c r="B54" s="16" t="str">
        <x:v>无源件</x:v>
      </x:c>
      <x:c r="C54" s="16" t="str">
        <x:v>阵列/中央/传感器</x:v>
      </x:c>
      <x:c r="D54" s="16" t="str">
        <x:v>2.2µF LDO稳定电容</x:v>
      </x:c>
      <x:c r="E54" s="16" t="str">
        <x:v>2.2µF 25V X7R</x:v>
      </x:c>
      <x:c r="F54" s="16" t="str">
        <x:v>按原v5零件计数移植；新布板新增保护网路另计</x:v>
      </x:c>
      <x:c r="G54" s="16" t="str">
        <x:v>0805</x:v>
      </x:c>
      <x:c r="H54" s="20" t="n">
        <x:v>2</x:v>
      </x:c>
      <x:c r="I54" s="20" t="n">
        <x:v>2</x:v>
      </x:c>
      <x:c r="J54" s="20" t="n">
        <x:v>2</x:v>
      </x:c>
      <x:c r="K54" s="20" t="n">
        <x:v>0</x:v>
      </x:c>
      <x:c r="L54" s="20" t="n">
        <x:v>0</x:v>
      </x:c>
      <x:c r="M54" s="23" t="n">
        <x:f>SUM(H54:L54)</x:f>
        <x:v>6</x:v>
      </x:c>
      <x:c r="N54" s="20" t="n">
        <x:v>12</x:v>
      </x:c>
      <x:c r="O54" s="16" t="str">
        <x:v>A</x:v>
      </x:c>
      <x:c r="P54" s="16" t="str">
        <x:v>参考数量/原理图重计</x:v>
      </x:c>
      <x:c r="Q54" s="16" t="str">
        <x:v>LDO输出稳定</x:v>
      </x:c>
      <x:c r="R54" s="16" t="str">
        <x:v>数量是原BOM提案，最终以新原理图Netlist自动回算</x:v>
      </x:c>
      <x:c r="S54" s="16" t="str">
        <x:v>立创商城/授权渠道待查</x:v>
      </x:c>
      <x:c r="T54" s="16" t="str">
        <x:v>https://github.com/loverlike1216/SonoField-FPGA/blob/main/v5/hardware/bom/BOM_MASTER.csv</x:v>
      </x:c>
      <x:c r="U54" s="16" t="str"/>
    </x:row>
    <x:row r="55" ht="43" customHeight="1">
      <x:c r="A55" s="16" t="str">
        <x:v>B-051</x:v>
      </x:c>
      <x:c r="B55" s="16" t="str">
        <x:v>无源件</x:v>
      </x:c>
      <x:c r="C55" s="16" t="str">
        <x:v>阵列/中央/传感器</x:v>
      </x:c>
      <x:c r="D55" s="16" t="str">
        <x:v>470µF低ESR主储能</x:v>
      </x:c>
      <x:c r="E55" s="16" t="str">
        <x:v>470µF 35V</x:v>
      </x:c>
      <x:c r="F55" s="16" t="str">
        <x:v>按原v5零件计数移植；新布板新增保护网路另计</x:v>
      </x:c>
      <x:c r="G55" s="16" t="str">
        <x:v>THT</x:v>
      </x:c>
      <x:c r="H55" s="20" t="n">
        <x:v>1</x:v>
      </x:c>
      <x:c r="I55" s="20" t="n">
        <x:v>1</x:v>
      </x:c>
      <x:c r="J55" s="20" t="n">
        <x:v>1</x:v>
      </x:c>
      <x:c r="K55" s="20" t="n">
        <x:v>0</x:v>
      </x:c>
      <x:c r="L55" s="20" t="n">
        <x:v>0</x:v>
      </x:c>
      <x:c r="M55" s="23" t="n">
        <x:f>SUM(H55:L55)</x:f>
        <x:v>3</x:v>
      </x:c>
      <x:c r="N55" s="20" t="n">
        <x:v>5</x:v>
      </x:c>
      <x:c r="O55" s="16" t="str">
        <x:v>A</x:v>
      </x:c>
      <x:c r="P55" s="16" t="str">
        <x:v>参考数量/原理图重计</x:v>
      </x:c>
      <x:c r="Q55" s="16" t="str">
        <x:v>eFuse输出后储能</x:v>
      </x:c>
      <x:c r="R55" s="16" t="str">
        <x:v>数量是原BOM提案，最终以新原理图Netlist自动回算</x:v>
      </x:c>
      <x:c r="S55" s="16" t="str">
        <x:v>立创商城/授权渠道待查</x:v>
      </x:c>
      <x:c r="T55" s="16" t="str">
        <x:v>https://github.com/loverlike1216/SonoField-FPGA/blob/main/v5/hardware/bom/BOM_MASTER.csv</x:v>
      </x:c>
      <x:c r="U55" s="16" t="str"/>
    </x:row>
    <x:row r="56" ht="43" customHeight="1">
      <x:c r="A56" s="16" t="str">
        <x:v>B-052</x:v>
      </x:c>
      <x:c r="B56" s="16" t="str">
        <x:v>无源件</x:v>
      </x:c>
      <x:c r="C56" s="16" t="str">
        <x:v>阵列/中央/传感器</x:v>
      </x:c>
      <x:c r="D56" s="16" t="str">
        <x:v>10nF RX耦合</x:v>
      </x:c>
      <x:c r="E56" s="16" t="str">
        <x:v>10nF 50V C0G</x:v>
      </x:c>
      <x:c r="F56" s="16" t="str">
        <x:v>按原v5零件计数移植；新布板新增保护网路另计</x:v>
      </x:c>
      <x:c r="G56" s="16" t="str">
        <x:v>0603</x:v>
      </x:c>
      <x:c r="H56" s="20" t="n">
        <x:v>4</x:v>
      </x:c>
      <x:c r="I56" s="20" t="n">
        <x:v>4</x:v>
      </x:c>
      <x:c r="J56" s="20" t="n">
        <x:v>0</x:v>
      </x:c>
      <x:c r="K56" s="20" t="n">
        <x:v>0</x:v>
      </x:c>
      <x:c r="L56" s="20" t="n">
        <x:v>0</x:v>
      </x:c>
      <x:c r="M56" s="23" t="n">
        <x:f>SUM(H56:L56)</x:f>
        <x:v>8</x:v>
      </x:c>
      <x:c r="N56" s="20" t="n">
        <x:v>20</x:v>
      </x:c>
      <x:c r="O56" s="16" t="str">
        <x:v>A</x:v>
      </x:c>
      <x:c r="P56" s="16" t="str">
        <x:v>参考数量/原理图重计</x:v>
      </x:c>
      <x:c r="Q56" s="16" t="str">
        <x:v>RX交流耦合</x:v>
      </x:c>
      <x:c r="R56" s="16" t="str">
        <x:v>数量是原BOM提案，最终以新原理图Netlist自动回算</x:v>
      </x:c>
      <x:c r="S56" s="16" t="str">
        <x:v>立创商城/授权渠道待查</x:v>
      </x:c>
      <x:c r="T56" s="16" t="str">
        <x:v>https://github.com/loverlike1216/SonoField-FPGA/blob/main/v5/hardware/bom/BOM_MASTER.csv</x:v>
      </x:c>
      <x:c r="U56" s="16" t="str"/>
    </x:row>
    <x:row r="57" ht="43" customHeight="1">
      <x:c r="A57" s="16" t="str">
        <x:v>B-053</x:v>
      </x:c>
      <x:c r="B57" s="16" t="str">
        <x:v>无源件</x:v>
      </x:c>
      <x:c r="C57" s="16" t="str">
        <x:v>阵列/中央/传感器</x:v>
      </x:c>
      <x:c r="D57" s="16" t="str">
        <x:v>1nF RX噪声过滤</x:v>
      </x:c>
      <x:c r="E57" s="16" t="str">
        <x:v>1nF 50V C0G</x:v>
      </x:c>
      <x:c r="F57" s="16" t="str">
        <x:v>按原v5零件计数移植；新布板新增保护网路另计</x:v>
      </x:c>
      <x:c r="G57" s="16" t="str">
        <x:v>0603</x:v>
      </x:c>
      <x:c r="H57" s="20" t="n">
        <x:v>4</x:v>
      </x:c>
      <x:c r="I57" s="20" t="n">
        <x:v>4</x:v>
      </x:c>
      <x:c r="J57" s="20" t="n">
        <x:v>8</x:v>
      </x:c>
      <x:c r="K57" s="20" t="n">
        <x:v>0</x:v>
      </x:c>
      <x:c r="L57" s="20" t="n">
        <x:v>0</x:v>
      </x:c>
      <x:c r="M57" s="23" t="n">
        <x:f>SUM(H57:L57)</x:f>
        <x:v>16</x:v>
      </x:c>
      <x:c r="N57" s="20" t="n">
        <x:v>30</x:v>
      </x:c>
      <x:c r="O57" s="16" t="str">
        <x:v>A</x:v>
      </x:c>
      <x:c r="P57" s="16" t="str">
        <x:v>参考数量/原理图重计</x:v>
      </x:c>
      <x:c r="Q57" s="16" t="str">
        <x:v>RX与ADC的高频RC</x:v>
      </x:c>
      <x:c r="R57" s="16" t="str">
        <x:v>数量是原BOM提案，最终以新原理图Netlist自动回算</x:v>
      </x:c>
      <x:c r="S57" s="16" t="str">
        <x:v>立创商城/授权渠道待查</x:v>
      </x:c>
      <x:c r="T57" s="16" t="str">
        <x:v>https://github.com/loverlike1216/SonoField-FPGA/blob/main/v5/hardware/bom/BOM_MASTER.csv</x:v>
      </x:c>
      <x:c r="U57" s="16" t="str"/>
    </x:row>
    <x:row r="58" ht="43" customHeight="1">
      <x:c r="A58" s="16" t="str">
        <x:v>B-054</x:v>
      </x:c>
      <x:c r="B58" s="16" t="str">
        <x:v>无源件</x:v>
      </x:c>
      <x:c r="C58" s="16" t="str">
        <x:v>阵列/中央/传感器</x:v>
      </x:c>
      <x:c r="D58" s="16" t="str">
        <x:v>100kΩ上拉/下拉</x:v>
      </x:c>
      <x:c r="E58" s="16" t="str">
        <x:v>100kΩ 1%</x:v>
      </x:c>
      <x:c r="F58" s="16" t="str">
        <x:v>按原v5零件计数移植；新布板新增保护网路另计</x:v>
      </x:c>
      <x:c r="G58" s="16" t="str">
        <x:v>0603</x:v>
      </x:c>
      <x:c r="H58" s="20" t="n">
        <x:v>89</x:v>
      </x:c>
      <x:c r="I58" s="20" t="n">
        <x:v>89</x:v>
      </x:c>
      <x:c r="J58" s="20" t="n">
        <x:v>2</x:v>
      </x:c>
      <x:c r="K58" s="20" t="n">
        <x:v>0</x:v>
      </x:c>
      <x:c r="L58" s="20" t="n">
        <x:v>0</x:v>
      </x:c>
      <x:c r="M58" s="23" t="n">
        <x:f>SUM(H58:L58)</x:f>
        <x:v>180</x:v>
      </x:c>
      <x:c r="N58" s="20" t="n">
        <x:v>220</x:v>
      </x:c>
      <x:c r="O58" s="16" t="str">
        <x:v>A</x:v>
      </x:c>
      <x:c r="P58" s="16" t="str">
        <x:v>参考数量/原理图重计</x:v>
      </x:c>
      <x:c r="Q58" s="16" t="str">
        <x:v>驱动下拉、偏置和安全状态</x:v>
      </x:c>
      <x:c r="R58" s="16" t="str">
        <x:v>数量是原BOM提案，最终以新原理图Netlist自动回算</x:v>
      </x:c>
      <x:c r="S58" s="16" t="str">
        <x:v>立创商城/授权渠道待查</x:v>
      </x:c>
      <x:c r="T58" s="16" t="str">
        <x:v>https://github.com/loverlike1216/SonoField-FPGA/blob/main/v5/hardware/bom/BOM_MASTER.csv</x:v>
      </x:c>
      <x:c r="U58" s="16" t="str"/>
    </x:row>
    <x:row r="59" ht="43" customHeight="1">
      <x:c r="A59" s="16" t="str">
        <x:v>B-055</x:v>
      </x:c>
      <x:c r="B59" s="16" t="str">
        <x:v>无源件</x:v>
      </x:c>
      <x:c r="C59" s="16" t="str">
        <x:v>阵列/中央/传感器</x:v>
      </x:c>
      <x:c r="D59" s="16" t="str">
        <x:v>10kΩ上拉/下拉</x:v>
      </x:c>
      <x:c r="E59" s="16" t="str">
        <x:v>10kΩ 1%</x:v>
      </x:c>
      <x:c r="F59" s="16" t="str">
        <x:v>按原v5零件计数移植；新布板新增保护网路另计</x:v>
      </x:c>
      <x:c r="G59" s="16" t="str">
        <x:v>0603</x:v>
      </x:c>
      <x:c r="H59" s="20" t="n">
        <x:v>3</x:v>
      </x:c>
      <x:c r="I59" s="20" t="n">
        <x:v>3</x:v>
      </x:c>
      <x:c r="J59" s="20" t="n">
        <x:v>0</x:v>
      </x:c>
      <x:c r="K59" s="20" t="n">
        <x:v>0</x:v>
      </x:c>
      <x:c r="L59" s="20" t="n">
        <x:v>0</x:v>
      </x:c>
      <x:c r="M59" s="23" t="n">
        <x:f>SUM(H59:L59)</x:f>
        <x:v>6</x:v>
      </x:c>
      <x:c r="N59" s="20" t="n">
        <x:v>20</x:v>
      </x:c>
      <x:c r="O59" s="16" t="str">
        <x:v>A</x:v>
      </x:c>
      <x:c r="P59" s="16" t="str">
        <x:v>参考数量/原理图重计</x:v>
      </x:c>
      <x:c r="Q59" s="16" t="str">
        <x:v>安全状态偏置</x:v>
      </x:c>
      <x:c r="R59" s="16" t="str">
        <x:v>数量是原BOM提案，最终以新原理图Netlist自动回算</x:v>
      </x:c>
      <x:c r="S59" s="16" t="str">
        <x:v>立创商城/授权渠道待查</x:v>
      </x:c>
      <x:c r="T59" s="16" t="str">
        <x:v>https://github.com/loverlike1216/SonoField-FPGA/blob/main/v5/hardware/bom/BOM_MASTER.csv</x:v>
      </x:c>
      <x:c r="U59" s="16" t="str"/>
    </x:row>
    <x:row r="60" ht="43" customHeight="1">
      <x:c r="A60" s="16" t="str">
        <x:v>B-056</x:v>
      </x:c>
      <x:c r="B60" s="16" t="str">
        <x:v>无源件</x:v>
      </x:c>
      <x:c r="C60" s="16" t="str">
        <x:v>阵列/中央/传感器</x:v>
      </x:c>
      <x:c r="D60" s="16" t="str">
        <x:v>4.7kΩ I²C上拉</x:v>
      </x:c>
      <x:c r="E60" s="16" t="str">
        <x:v>4.7kΩ 1%</x:v>
      </x:c>
      <x:c r="F60" s="16" t="str">
        <x:v>按原v5零件计数移植；新布板新增保护网路另计</x:v>
      </x:c>
      <x:c r="G60" s="16" t="str">
        <x:v>0603</x:v>
      </x:c>
      <x:c r="H60" s="20" t="n">
        <x:v>2</x:v>
      </x:c>
      <x:c r="I60" s="20" t="n">
        <x:v>2</x:v>
      </x:c>
      <x:c r="J60" s="20" t="n">
        <x:v>2</x:v>
      </x:c>
      <x:c r="K60" s="20" t="n">
        <x:v>2</x:v>
      </x:c>
      <x:c r="L60" s="20" t="n">
        <x:v>0</x:v>
      </x:c>
      <x:c r="M60" s="23" t="n">
        <x:f>SUM(H60:L60)</x:f>
        <x:v>8</x:v>
      </x:c>
      <x:c r="N60" s="20" t="n">
        <x:v>20</x:v>
      </x:c>
      <x:c r="O60" s="16" t="str">
        <x:v>A</x:v>
      </x:c>
      <x:c r="P60" s="16" t="str">
        <x:v>参考数量/原理图重计</x:v>
      </x:c>
      <x:c r="Q60" s="16" t="str">
        <x:v>I2C上拉，每段只能一次</x:v>
      </x:c>
      <x:c r="R60" s="16" t="str">
        <x:v>数量是原BOM提案，最终以新原理图Netlist自动回算</x:v>
      </x:c>
      <x:c r="S60" s="16" t="str">
        <x:v>立创商城/授权渠道待查</x:v>
      </x:c>
      <x:c r="T60" s="16" t="str">
        <x:v>https://github.com/loverlike1216/SonoField-FPGA/blob/main/v5/hardware/bom/BOM_MASTER.csv</x:v>
      </x:c>
      <x:c r="U60" s="16" t="str"/>
    </x:row>
    <x:row r="61" ht="43" customHeight="1">
      <x:c r="A61" s="16" t="str">
        <x:v>B-057</x:v>
      </x:c>
      <x:c r="B61" s="16" t="str">
        <x:v>无源件</x:v>
      </x:c>
      <x:c r="C61" s="16" t="str">
        <x:v>阵列/中央/传感器</x:v>
      </x:c>
      <x:c r="D61" s="16" t="str">
        <x:v>1kΩ RX串联</x:v>
      </x:c>
      <x:c r="E61" s="16" t="str">
        <x:v>1kΩ 1%</x:v>
      </x:c>
      <x:c r="F61" s="16" t="str">
        <x:v>按原v5零件计数移植；新布板新增保护网路另计</x:v>
      </x:c>
      <x:c r="G61" s="16" t="str">
        <x:v>0603</x:v>
      </x:c>
      <x:c r="H61" s="20" t="n">
        <x:v>8</x:v>
      </x:c>
      <x:c r="I61" s="20" t="n">
        <x:v>8</x:v>
      </x:c>
      <x:c r="J61" s="20" t="n">
        <x:v>0</x:v>
      </x:c>
      <x:c r="K61" s="20" t="n">
        <x:v>0</x:v>
      </x:c>
      <x:c r="L61" s="20" t="n">
        <x:v>0</x:v>
      </x:c>
      <x:c r="M61" s="23" t="n">
        <x:f>SUM(H61:L61)</x:f>
        <x:v>16</x:v>
      </x:c>
      <x:c r="N61" s="20" t="n">
        <x:v>25</x:v>
      </x:c>
      <x:c r="O61" s="16" t="str">
        <x:v>A</x:v>
      </x:c>
      <x:c r="P61" s="16" t="str">
        <x:v>参考数量/原理图重计</x:v>
      </x:c>
      <x:c r="Q61" s="16" t="str">
        <x:v>AFE输入限流/耦合</x:v>
      </x:c>
      <x:c r="R61" s="16" t="str">
        <x:v>数量是原BOM提案，最终以新原理图Netlist自动回算</x:v>
      </x:c>
      <x:c r="S61" s="16" t="str">
        <x:v>立创商城/授权渠道待查</x:v>
      </x:c>
      <x:c r="T61" s="16" t="str">
        <x:v>https://github.com/loverlike1216/SonoField-FPGA/blob/main/v5/hardware/bom/BOM_MASTER.csv</x:v>
      </x:c>
      <x:c r="U61" s="16" t="str"/>
    </x:row>
    <x:row r="62" ht="43" customHeight="1">
      <x:c r="A62" s="16" t="str">
        <x:v>B-058</x:v>
      </x:c>
      <x:c r="B62" s="16" t="str">
        <x:v>无源件</x:v>
      </x:c>
      <x:c r="C62" s="16" t="str">
        <x:v>阵列/中央/传感器</x:v>
      </x:c>
      <x:c r="D62" s="16" t="str">
        <x:v>47Ω模拟阻尼</x:v>
      </x:c>
      <x:c r="E62" s="16" t="str">
        <x:v>47Ω 1%</x:v>
      </x:c>
      <x:c r="F62" s="16" t="str">
        <x:v>按原v5零件计数移植；新布板新增保护网路另计</x:v>
      </x:c>
      <x:c r="G62" s="16" t="str">
        <x:v>0603</x:v>
      </x:c>
      <x:c r="H62" s="20" t="n">
        <x:v>4</x:v>
      </x:c>
      <x:c r="I62" s="20" t="n">
        <x:v>4</x:v>
      </x:c>
      <x:c r="J62" s="20" t="n">
        <x:v>8</x:v>
      </x:c>
      <x:c r="K62" s="20" t="n">
        <x:v>0</x:v>
      </x:c>
      <x:c r="L62" s="20" t="n">
        <x:v>0</x:v>
      </x:c>
      <x:c r="M62" s="23" t="n">
        <x:f>SUM(H62:L62)</x:f>
        <x:v>16</x:v>
      </x:c>
      <x:c r="N62" s="20" t="n">
        <x:v>30</x:v>
      </x:c>
      <x:c r="O62" s="16" t="str">
        <x:v>A</x:v>
      </x:c>
      <x:c r="P62" s="16" t="str">
        <x:v>参考数量/原理图重计</x:v>
      </x:c>
      <x:c r="Q62" s="16" t="str">
        <x:v>模拟端接初值</x:v>
      </x:c>
      <x:c r="R62" s="16" t="str">
        <x:v>数量是原BOM提案，最终以新原理图Netlist自动回算</x:v>
      </x:c>
      <x:c r="S62" s="16" t="str">
        <x:v>立创商城/授权渠道待查</x:v>
      </x:c>
      <x:c r="T62" s="16" t="str">
        <x:v>https://github.com/loverlike1216/SonoField-FPGA/blob/main/v5/hardware/bom/BOM_MASTER.csv</x:v>
      </x:c>
      <x:c r="U62" s="16" t="str"/>
    </x:row>
    <x:row r="63" ht="43" customHeight="1">
      <x:c r="A63" s="16" t="str">
        <x:v>B-059</x:v>
      </x:c>
      <x:c r="B63" s="16" t="str">
        <x:v>无源件</x:v>
      </x:c>
      <x:c r="C63" s="16" t="str">
        <x:v>阵列/中央/传感器</x:v>
      </x:c>
      <x:c r="D63" s="16" t="str">
        <x:v>33Ω高速阻尼</x:v>
      </x:c>
      <x:c r="E63" s="16" t="str">
        <x:v>33Ω 1%</x:v>
      </x:c>
      <x:c r="F63" s="16" t="str">
        <x:v>按原v5零件计数移植；新布板新增保护网路另计</x:v>
      </x:c>
      <x:c r="G63" s="16" t="str">
        <x:v>0603</x:v>
      </x:c>
      <x:c r="H63" s="20" t="n">
        <x:v>8</x:v>
      </x:c>
      <x:c r="I63" s="20" t="n">
        <x:v>8</x:v>
      </x:c>
      <x:c r="J63" s="20" t="n">
        <x:v>0</x:v>
      </x:c>
      <x:c r="K63" s="20" t="n">
        <x:v>0</x:v>
      </x:c>
      <x:c r="L63" s="20" t="n">
        <x:v>0</x:v>
      </x:c>
      <x:c r="M63" s="23" t="n">
        <x:f>SUM(H63:L63)</x:f>
        <x:v>16</x:v>
      </x:c>
      <x:c r="N63" s="20" t="n">
        <x:v>25</x:v>
      </x:c>
      <x:c r="O63" s="16" t="str">
        <x:v>A</x:v>
      </x:c>
      <x:c r="P63" s="16" t="str">
        <x:v>参考数量/原理图重计</x:v>
      </x:c>
      <x:c r="Q63" s="16" t="str">
        <x:v>串行时钟源端端接</x:v>
      </x:c>
      <x:c r="R63" s="16" t="str">
        <x:v>数量是原BOM提案，最终以新原理图Netlist自动回算</x:v>
      </x:c>
      <x:c r="S63" s="16" t="str">
        <x:v>立创商城/授权渠道待查</x:v>
      </x:c>
      <x:c r="T63" s="16" t="str">
        <x:v>https://github.com/loverlike1216/SonoField-FPGA/blob/main/v5/hardware/bom/BOM_MASTER.csv</x:v>
      </x:c>
      <x:c r="U63" s="16" t="str"/>
    </x:row>
    <x:row r="64" ht="43" customHeight="1">
      <x:c r="A64" s="16" t="str">
        <x:v>B-060</x:v>
      </x:c>
      <x:c r="B64" s="16" t="str">
        <x:v>无源件</x:v>
      </x:c>
      <x:c r="C64" s="16" t="str">
        <x:v>阵列/中央/传感器</x:v>
      </x:c>
      <x:c r="D64" s="16" t="str">
        <x:v>10Ω监测滤波</x:v>
      </x:c>
      <x:c r="E64" s="16" t="str">
        <x:v>10Ω 1%</x:v>
      </x:c>
      <x:c r="F64" s="16" t="str">
        <x:v>按原v5零件计数移植；新布板新增保护网路另计</x:v>
      </x:c>
      <x:c r="G64" s="16" t="str">
        <x:v>0603</x:v>
      </x:c>
      <x:c r="H64" s="20" t="n">
        <x:v>2</x:v>
      </x:c>
      <x:c r="I64" s="20" t="n">
        <x:v>2</x:v>
      </x:c>
      <x:c r="J64" s="20" t="n">
        <x:v>2</x:v>
      </x:c>
      <x:c r="K64" s="20" t="n">
        <x:v>0</x:v>
      </x:c>
      <x:c r="L64" s="20" t="n">
        <x:v>0</x:v>
      </x:c>
      <x:c r="M64" s="23" t="n">
        <x:f>SUM(H64:L64)</x:f>
        <x:v>6</x:v>
      </x:c>
      <x:c r="N64" s="20" t="n">
        <x:v>15</x:v>
      </x:c>
      <x:c r="O64" s="16" t="str">
        <x:v>A</x:v>
      </x:c>
      <x:c r="P64" s="16" t="str">
        <x:v>参考数量/原理图重计</x:v>
      </x:c>
      <x:c r="Q64" s="16" t="str">
        <x:v>INA226输入滤波</x:v>
      </x:c>
      <x:c r="R64" s="16" t="str">
        <x:v>数量是原BOM提案，最终以新原理图Netlist自动回算</x:v>
      </x:c>
      <x:c r="S64" s="16" t="str">
        <x:v>立创商城/授权渠道待查</x:v>
      </x:c>
      <x:c r="T64" s="16" t="str">
        <x:v>https://github.com/loverlike1216/SonoField-FPGA/blob/main/v5/hardware/bom/BOM_MASTER.csv</x:v>
      </x:c>
      <x:c r="U64" s="16" t="str"/>
    </x:row>
    <x:row r="65" ht="43" customHeight="1">
      <x:c r="A65" s="16" t="str">
        <x:v>B-061</x:v>
      </x:c>
      <x:c r="B65" s="16" t="str">
        <x:v>无源件</x:v>
      </x:c>
      <x:c r="C65" s="16" t="str">
        <x:v>阵列/中央/传感器</x:v>
      </x:c>
      <x:c r="D65" s="16" t="str">
        <x:v>0Ω通道选择跳线</x:v>
      </x:c>
      <x:c r="E65" s="16" t="str">
        <x:v>0Ω 0603</x:v>
      </x:c>
      <x:c r="F65" s="16" t="str">
        <x:v>按原v5零件计数移植；新布板新增保护网路另计</x:v>
      </x:c>
      <x:c r="G65" s="16" t="str">
        <x:v>0603</x:v>
      </x:c>
      <x:c r="H65" s="20" t="n">
        <x:v>68</x:v>
      </x:c>
      <x:c r="I65" s="20" t="n">
        <x:v>68</x:v>
      </x:c>
      <x:c r="J65" s="20" t="n">
        <x:v>0</x:v>
      </x:c>
      <x:c r="K65" s="20" t="n">
        <x:v>0</x:v>
      </x:c>
      <x:c r="L65" s="20" t="n">
        <x:v>0</x:v>
      </x:c>
      <x:c r="M65" s="23" t="n">
        <x:f>SUM(H65:L65)</x:f>
        <x:v>136</x:v>
      </x:c>
      <x:c r="N65" s="20" t="n">
        <x:v>160</x:v>
      </x:c>
      <x:c r="O65" s="16" t="str">
        <x:v>A</x:v>
      </x:c>
      <x:c r="P65" s="16" t="str">
        <x:v>参考数量/原理图重计</x:v>
      </x:c>
      <x:c r="Q65" s="16" t="str">
        <x:v>128发射支路及调试旁路</x:v>
      </x:c>
      <x:c r="R65" s="16" t="str">
        <x:v>数量是原BOM提案，最终以新原理图Netlist自动回算</x:v>
      </x:c>
      <x:c r="S65" s="16" t="str">
        <x:v>立创商城/授权渠道待查</x:v>
      </x:c>
      <x:c r="T65" s="16" t="str">
        <x:v>https://github.com/loverlike1216/SonoField-FPGA/blob/main/v5/hardware/bom/BOM_MASTER.csv</x:v>
      </x:c>
      <x:c r="U65" s="16" t="str"/>
    </x:row>
    <x:row r="66" ht="43" customHeight="1">
      <x:c r="A66" s="16" t="str">
        <x:v>B-062</x:v>
      </x:c>
      <x:c r="B66" s="16" t="str">
        <x:v>无源件</x:v>
      </x:c>
      <x:c r="C66" s="16" t="str">
        <x:v>阵列/中央/传感器</x:v>
      </x:c>
      <x:c r="D66" s="16" t="str">
        <x:v>1.65kΩ限流编程</x:v>
      </x:c>
      <x:c r="E66" s="16" t="str">
        <x:v>1.65kΩ 1%</x:v>
      </x:c>
      <x:c r="F66" s="16" t="str">
        <x:v>按原v5零件计数移植；新布板新增保护网路另计</x:v>
      </x:c>
      <x:c r="G66" s="16" t="str">
        <x:v>0603</x:v>
      </x:c>
      <x:c r="H66" s="20" t="n">
        <x:v>1</x:v>
      </x:c>
      <x:c r="I66" s="20" t="n">
        <x:v>1</x:v>
      </x:c>
      <x:c r="J66" s="20" t="n">
        <x:v>1</x:v>
      </x:c>
      <x:c r="K66" s="20" t="n">
        <x:v>0</x:v>
      </x:c>
      <x:c r="L66" s="20" t="n">
        <x:v>0</x:v>
      </x:c>
      <x:c r="M66" s="23" t="n">
        <x:f>SUM(H66:L66)</x:f>
        <x:v>3</x:v>
      </x:c>
      <x:c r="N66" s="20" t="n">
        <x:v>10</x:v>
      </x:c>
      <x:c r="O66" s="16" t="str">
        <x:v>A</x:v>
      </x:c>
      <x:c r="P66" s="16" t="str">
        <x:v>参考数量/原理图重计</x:v>
      </x:c>
      <x:c r="Q66" s="16" t="str">
        <x:v>eFuse限流初值待实测</x:v>
      </x:c>
      <x:c r="R66" s="16" t="str">
        <x:v>数量是原BOM提案，最终以新原理图Netlist自动回算</x:v>
      </x:c>
      <x:c r="S66" s="16" t="str">
        <x:v>立创商城/授权渠道待查</x:v>
      </x:c>
      <x:c r="T66" s="16" t="str">
        <x:v>https://github.com/loverlike1216/SonoField-FPGA/blob/main/v5/hardware/bom/BOM_MASTER.csv</x:v>
      </x:c>
      <x:c r="U66" s="16" t="str"/>
    </x:row>
    <x:row r="67" ht="43" customHeight="1">
      <x:c r="A67" s="16" t="str">
        <x:v>B-063</x:v>
      </x:c>
      <x:c r="B67" s="16" t="str">
        <x:v>无源件</x:v>
      </x:c>
      <x:c r="C67" s="16" t="str">
        <x:v>阵列/中央/传感器</x:v>
      </x:c>
      <x:c r="D67" s="16" t="str">
        <x:v>1.37MΩ过压编程</x:v>
      </x:c>
      <x:c r="E67" s="16" t="str">
        <x:v>1.37MΩ 1%</x:v>
      </x:c>
      <x:c r="F67" s="16" t="str">
        <x:v>按原v5零件计数移植；新布板新增保护网路另计</x:v>
      </x:c>
      <x:c r="G67" s="16" t="str">
        <x:v>0603</x:v>
      </x:c>
      <x:c r="H67" s="20" t="n">
        <x:v>1</x:v>
      </x:c>
      <x:c r="I67" s="20" t="n">
        <x:v>1</x:v>
      </x:c>
      <x:c r="J67" s="20" t="n">
        <x:v>1</x:v>
      </x:c>
      <x:c r="K67" s="20" t="n">
        <x:v>0</x:v>
      </x:c>
      <x:c r="L67" s="20" t="n">
        <x:v>0</x:v>
      </x:c>
      <x:c r="M67" s="23" t="n">
        <x:f>SUM(H67:L67)</x:f>
        <x:v>3</x:v>
      </x:c>
      <x:c r="N67" s="20" t="n">
        <x:v>10</x:v>
      </x:c>
      <x:c r="O67" s="16" t="str">
        <x:v>A</x:v>
      </x:c>
      <x:c r="P67" s="16" t="str">
        <x:v>参考数量/原理图重计</x:v>
      </x:c>
      <x:c r="Q67" s="16" t="str">
        <x:v>eFuse OVP/OVLO待核算</x:v>
      </x:c>
      <x:c r="R67" s="16" t="str">
        <x:v>数量是原BOM提案，最终以新原理图Netlist自动回算</x:v>
      </x:c>
      <x:c r="S67" s="16" t="str">
        <x:v>立创商城/授权渠道待查</x:v>
      </x:c>
      <x:c r="T67" s="16" t="str">
        <x:v>https://github.com/loverlike1216/SonoField-FPGA/blob/main/v5/hardware/bom/BOM_MASTER.csv</x:v>
      </x:c>
      <x:c r="U67" s="16" t="str"/>
    </x:row>
    <x:row r="68" ht="43" customHeight="1">
      <x:c r="A68" s="16" t="str">
        <x:v>B-064</x:v>
      </x:c>
      <x:c r="B68" s="16" t="str">
        <x:v>无源件</x:v>
      </x:c>
      <x:c r="C68" s="16" t="str">
        <x:v>阵列/中央/传感器</x:v>
      </x:c>
      <x:c r="D68" s="16" t="str">
        <x:v>590kΩ反馈</x:v>
      </x:c>
      <x:c r="E68" s="16" t="str">
        <x:v>590kΩ 1%</x:v>
      </x:c>
      <x:c r="F68" s="16" t="str">
        <x:v>按原v5零件计数移植；新布板新增保护网路另计</x:v>
      </x:c>
      <x:c r="G68" s="16" t="str">
        <x:v>0603</x:v>
      </x:c>
      <x:c r="H68" s="20" t="n">
        <x:v>1</x:v>
      </x:c>
      <x:c r="I68" s="20" t="n">
        <x:v>1</x:v>
      </x:c>
      <x:c r="J68" s="20" t="n">
        <x:v>1</x:v>
      </x:c>
      <x:c r="K68" s="20" t="n">
        <x:v>0</x:v>
      </x:c>
      <x:c r="L68" s="20" t="n">
        <x:v>0</x:v>
      </x:c>
      <x:c r="M68" s="23" t="n">
        <x:f>SUM(H68:L68)</x:f>
        <x:v>3</x:v>
      </x:c>
      <x:c r="N68" s="20" t="n">
        <x:v>10</x:v>
      </x:c>
      <x:c r="O68" s="16" t="str">
        <x:v>A</x:v>
      </x:c>
      <x:c r="P68" s="16" t="str">
        <x:v>参考数量/原理图重计</x:v>
      </x:c>
      <x:c r="Q68" s="16" t="str">
        <x:v>AP63200反馈待核算</x:v>
      </x:c>
      <x:c r="R68" s="16" t="str">
        <x:v>数量是原BOM提案，最终以新原理图Netlist自动回算</x:v>
      </x:c>
      <x:c r="S68" s="16" t="str">
        <x:v>立创商城/授权渠道待查</x:v>
      </x:c>
      <x:c r="T68" s="16" t="str">
        <x:v>https://github.com/loverlike1216/SonoField-FPGA/blob/main/v5/hardware/bom/BOM_MASTER.csv</x:v>
      </x:c>
      <x:c r="U68" s="16" t="str"/>
    </x:row>
    <x:row r="69" ht="43" customHeight="1">
      <x:c r="A69" s="16" t="str">
        <x:v>B-065</x:v>
      </x:c>
      <x:c r="B69" s="16" t="str">
        <x:v>无源件</x:v>
      </x:c>
      <x:c r="C69" s="16" t="str">
        <x:v>阵列/中央/传感器</x:v>
      </x:c>
      <x:c r="D69" s="16" t="str">
        <x:v>100kΩ高精度反馈</x:v>
      </x:c>
      <x:c r="E69" s="16" t="str">
        <x:v>100kΩ 0.1%</x:v>
      </x:c>
      <x:c r="F69" s="16" t="str">
        <x:v>按原v5零件计数移植；新布板新增保护网路另计</x:v>
      </x:c>
      <x:c r="G69" s="16" t="str">
        <x:v>0603</x:v>
      </x:c>
      <x:c r="H69" s="20" t="n">
        <x:v>4</x:v>
      </x:c>
      <x:c r="I69" s="20" t="n">
        <x:v>4</x:v>
      </x:c>
      <x:c r="J69" s="20" t="n">
        <x:v>0</x:v>
      </x:c>
      <x:c r="K69" s="20" t="n">
        <x:v>0</x:v>
      </x:c>
      <x:c r="L69" s="20" t="n">
        <x:v>0</x:v>
      </x:c>
      <x:c r="M69" s="23" t="n">
        <x:f>SUM(H69:L69)</x:f>
        <x:v>8</x:v>
      </x:c>
      <x:c r="N69" s="20" t="n">
        <x:v>12</x:v>
      </x:c>
      <x:c r="O69" s="16" t="str">
        <x:v>A</x:v>
      </x:c>
      <x:c r="P69" s="16" t="str">
        <x:v>参考数量/原理图重计</x:v>
      </x:c>
      <x:c r="Q69" s="16" t="str">
        <x:v>AFE一级增益</x:v>
      </x:c>
      <x:c r="R69" s="16" t="str">
        <x:v>数量是原BOM提案，最终以新原理图Netlist自动回算</x:v>
      </x:c>
      <x:c r="S69" s="16" t="str">
        <x:v>立创商城/授权渠道待查</x:v>
      </x:c>
      <x:c r="T69" s="16" t="str">
        <x:v>https://github.com/loverlike1216/SonoField-FPGA/blob/main/v5/hardware/bom/BOM_MASTER.csv</x:v>
      </x:c>
      <x:c r="U69" s="16" t="str"/>
    </x:row>
    <x:row r="70" ht="43" customHeight="1">
      <x:c r="A70" s="16" t="str">
        <x:v>B-066</x:v>
      </x:c>
      <x:c r="B70" s="16" t="str">
        <x:v>无源件</x:v>
      </x:c>
      <x:c r="C70" s="16" t="str">
        <x:v>阵列/中央/传感器</x:v>
      </x:c>
      <x:c r="D70" s="16" t="str">
        <x:v>10kΩ高精度反馈</x:v>
      </x:c>
      <x:c r="E70" s="16" t="str">
        <x:v>10kΩ 0.1%</x:v>
      </x:c>
      <x:c r="F70" s="16" t="str">
        <x:v>按原v5零件计数移植；新布板新增保护网路另计</x:v>
      </x:c>
      <x:c r="G70" s="16" t="str">
        <x:v>0603</x:v>
      </x:c>
      <x:c r="H70" s="20" t="n">
        <x:v>12</x:v>
      </x:c>
      <x:c r="I70" s="20" t="n">
        <x:v>12</x:v>
      </x:c>
      <x:c r="J70" s="20" t="n">
        <x:v>0</x:v>
      </x:c>
      <x:c r="K70" s="20" t="n">
        <x:v>0</x:v>
      </x:c>
      <x:c r="L70" s="20" t="n">
        <x:v>0</x:v>
      </x:c>
      <x:c r="M70" s="23" t="n">
        <x:f>SUM(H70:L70)</x:f>
        <x:v>24</x:v>
      </x:c>
      <x:c r="N70" s="20" t="n">
        <x:v>30</x:v>
      </x:c>
      <x:c r="O70" s="16" t="str">
        <x:v>A</x:v>
      </x:c>
      <x:c r="P70" s="16" t="str">
        <x:v>参考数量/原理图重计</x:v>
      </x:c>
      <x:c r="Q70" s="16" t="str">
        <x:v>AFE二级增益</x:v>
      </x:c>
      <x:c r="R70" s="16" t="str">
        <x:v>数量是原BOM提案，最终以新原理图Netlist自动回算</x:v>
      </x:c>
      <x:c r="S70" s="16" t="str">
        <x:v>立创商城/授权渠道待查</x:v>
      </x:c>
      <x:c r="T70" s="16" t="str">
        <x:v>https://github.com/loverlike1216/SonoField-FPGA/blob/main/v5/hardware/bom/BOM_MASTER.csv</x:v>
      </x:c>
      <x:c r="U70" s="16" t="str"/>
    </x:row>
    <x:row r="71" ht="43" customHeight="1">
      <x:c r="A71" s="16" t="str">
        <x:v>B-067</x:v>
      </x:c>
      <x:c r="B71" s="16" t="str">
        <x:v>调试/可选</x:v>
      </x:c>
      <x:c r="C71" s="16" t="str">
        <x:v>上下阵列</x:v>
      </x:c>
      <x:c r="D71" s="16" t="str">
        <x:v>TX电阻调谐预留</x:v>
      </x:c>
      <x:c r="E71" s="16" t="str">
        <x:v>1.2kΩ 0603 DNP</x:v>
      </x:c>
      <x:c r="F71" s="16" t="str">
        <x:v>128位置默认不装</x:v>
      </x:c>
      <x:c r="G71" s="16" t="str">
        <x:v>0603</x:v>
      </x:c>
      <x:c r="H71" s="20" t="n">
        <x:v>0</x:v>
      </x:c>
      <x:c r="I71" s="20" t="n">
        <x:v>0</x:v>
      </x:c>
      <x:c r="J71" s="20" t="n">
        <x:v>0</x:v>
      </x:c>
      <x:c r="K71" s="20" t="n">
        <x:v>0</x:v>
      </x:c>
      <x:c r="L71" s="20" t="n">
        <x:v>0</x:v>
      </x:c>
      <x:c r="M71" s="23" t="n">
        <x:f>SUM(H71:L71)</x:f>
        <x:v>0</x:v>
      </x:c>
      <x:c r="N71" s="20" t="n">
        <x:v>100</x:v>
      </x:c>
      <x:c r="O71" s="16" t="str">
        <x:v>C</x:v>
      </x:c>
      <x:c r="P71" s="16" t="str">
        <x:v>DNP/可选</x:v>
      </x:c>
      <x:c r="Q71" s="16" t="str">
        <x:v>振铃/阻尼调参备位</x:v>
      </x:c>
      <x:c r="R71" s="16" t="str">
        <x:v>严禁未知参数全量焊接</x:v>
      </x:c>
      <x:c r="S71" s="16" t="str">
        <x:v>立创商城/授权渠道待查</x:v>
      </x:c>
      <x:c r="T71" s="16" t="str">
        <x:v>https://github.com/loverlike1216/SonoField-FPGA/blob/main/v5/hardware/bom/BOM_MASTER.csv</x:v>
      </x:c>
      <x:c r="U71" s="16" t="str"/>
    </x:row>
    <x:row r="72" ht="43" customHeight="1">
      <x:c r="A72" s="16" t="str">
        <x:v>B-068</x:v>
      </x:c>
      <x:c r="B72" s="16" t="str">
        <x:v>调试/可选</x:v>
      </x:c>
      <x:c r="C72" s="16" t="str">
        <x:v>上下阵列</x:v>
      </x:c>
      <x:c r="D72" s="16" t="str">
        <x:v>AFE增益调整预留</x:v>
      </x:c>
      <x:c r="E72" s="16" t="str">
        <x:v>39kΩ 0.1% DNP</x:v>
      </x:c>
      <x:c r="F72" s="16" t="str">
        <x:v>默认不装；每通道调参位</x:v>
      </x:c>
      <x:c r="G72" s="16" t="str">
        <x:v>0603</x:v>
      </x:c>
      <x:c r="H72" s="20" t="n">
        <x:v>0</x:v>
      </x:c>
      <x:c r="I72" s="20" t="n">
        <x:v>0</x:v>
      </x:c>
      <x:c r="J72" s="20" t="n">
        <x:v>0</x:v>
      </x:c>
      <x:c r="K72" s="20" t="n">
        <x:v>0</x:v>
      </x:c>
      <x:c r="L72" s="20" t="n">
        <x:v>0</x:v>
      </x:c>
      <x:c r="M72" s="23" t="n">
        <x:f>SUM(H72:L72)</x:f>
        <x:v>0</x:v>
      </x:c>
      <x:c r="N72" s="20" t="n">
        <x:v>12</x:v>
      </x:c>
      <x:c r="O72" s="16" t="str">
        <x:v>C</x:v>
      </x:c>
      <x:c r="P72" s="16" t="str">
        <x:v>DNP/可选</x:v>
      </x:c>
      <x:c r="Q72" s="16" t="str">
        <x:v>增益/饱和修正</x:v>
      </x:c>
      <x:c r="R72" s="16" t="str">
        <x:v>需仿真及板测决定</x:v>
      </x:c>
      <x:c r="S72" s="16" t="str">
        <x:v>立创商城/授权渠道待查</x:v>
      </x:c>
      <x:c r="T72" s="16" t="str">
        <x:v>https://github.com/loverlike1216/SonoField-FPGA/blob/main/v5/hardware/bom/BOM_MASTER.csv</x:v>
      </x:c>
      <x:c r="U72" s="16" t="str"/>
    </x:row>
    <x:row r="73" ht="43" customHeight="1">
      <x:c r="A73" s="16" t="str">
        <x:v>B-069</x:v>
      </x:c>
      <x:c r="B73" s="16" t="str">
        <x:v>PCB制造</x:v>
      </x:c>
      <x:c r="C73" s="16" t="str">
        <x:v>上下阵列</x:v>
      </x:c>
      <x:c r="D73" s="16" t="str">
        <x:v>4层阵列PCB</x:v>
      </x:c>
      <x:c r="E73" s="16" t="str">
        <x:v>130×130mm 4L 1.6mm FR4候选</x:v>
      </x:c>
      <x:c r="F73" s="16" t="str">
        <x:v>单板64 TX+4RX+驱动/AFE；空间布局受限需密度审查</x:v>
      </x:c>
      <x:c r="G73" s="16" t="str">
        <x:v>PCB</x:v>
      </x:c>
      <x:c r="H73" s="20" t="n">
        <x:v>1</x:v>
      </x:c>
      <x:c r="I73" s="20" t="n">
        <x:v>1</x:v>
      </x:c>
      <x:c r="J73" s="20" t="n">
        <x:v>0</x:v>
      </x:c>
      <x:c r="K73" s="20" t="n">
        <x:v>0</x:v>
      </x:c>
      <x:c r="L73" s="20" t="n">
        <x:v>0</x:v>
      </x:c>
      <x:c r="M73" s="23" t="n">
        <x:f>SUM(H73:L73)</x:f>
        <x:v>2</x:v>
      </x:c>
      <x:c r="N73" s="20" t="n">
        <x:v>5</x:v>
      </x:c>
      <x:c r="O73" s="16" t="str">
        <x:v>A</x:v>
      </x:c>
      <x:c r="P73" s="16" t="str">
        <x:v>设计候选/不可投板</x:v>
      </x:c>
      <x:c r="Q73" s="16" t="str">
        <x:v>发射器+驱动/接收前端载体</x:v>
      </x:c>
      <x:c r="R73" s="16" t="str">
        <x:v>实际NU40C10T孔位/体积和驱动散热可能要求更大尺寸</x:v>
      </x:c>
      <x:c r="S73" s="16" t="str">
        <x:v>立创商城/授权渠道待查</x:v>
      </x:c>
      <x:c r="T73" s="16" t="str">
        <x:v>https://jlcpcb.com</x:v>
      </x:c>
      <x:c r="U73" s="16" t="str"/>
    </x:row>
    <x:row r="74" ht="43" customHeight="1">
      <x:c r="A74" s="16" t="str">
        <x:v>B-070</x:v>
      </x:c>
      <x:c r="B74" s="16" t="str">
        <x:v>PCB制造</x:v>
      </x:c>
      <x:c r="C74" s="16" t="str">
        <x:v>中央接口采集板</x:v>
      </x:c>
      <x:c r="D74" s="16" t="str">
        <x:v>4层AX7020适配/ADC PCB</x:v>
      </x:c>
      <x:c r="E74" s="16" t="str">
        <x:v>100×80mm 4L候选</x:v>
      </x:c>
      <x:c r="F74" s="16" t="str">
        <x:v>尺寸随对接连接器/J10-J11位置确定</x:v>
      </x:c>
      <x:c r="G74" s="16" t="str">
        <x:v>PCB</x:v>
      </x:c>
      <x:c r="H74" s="20" t="n">
        <x:v>0</x:v>
      </x:c>
      <x:c r="I74" s="20" t="n">
        <x:v>0</x:v>
      </x:c>
      <x:c r="J74" s="20" t="n">
        <x:v>1</x:v>
      </x:c>
      <x:c r="K74" s="20" t="n">
        <x:v>0</x:v>
      </x:c>
      <x:c r="L74" s="20" t="n">
        <x:v>0</x:v>
      </x:c>
      <x:c r="M74" s="23" t="n">
        <x:f>SUM(H74:L74)</x:f>
        <x:v>1</x:v>
      </x:c>
      <x:c r="N74" s="20" t="n">
        <x:v>3</x:v>
      </x:c>
      <x:c r="O74" s="16" t="str">
        <x:v>A</x:v>
      </x:c>
      <x:c r="P74" s="16" t="str">
        <x:v>设计候选/不可投板</x:v>
      </x:c>
      <x:c r="Q74" s="16" t="str">
        <x:v>GPIO转接、AD7606B、辅助供电</x:v>
      </x:c>
      <x:c r="R74" s="16" t="str">
        <x:v>未经实板连接器位置核验不锁尺寸</x:v>
      </x:c>
      <x:c r="S74" s="16" t="str">
        <x:v>立创商城/授权渠道待查</x:v>
      </x:c>
      <x:c r="T74" s="16" t="str">
        <x:v>https://jlcpcb.com</x:v>
      </x:c>
      <x:c r="U74" s="16" t="str"/>
    </x:row>
    <x:row r="75" ht="43" customHeight="1">
      <x:c r="A75" s="16" t="str">
        <x:v>B-071</x:v>
      </x:c>
      <x:c r="B75" s="16" t="str">
        <x:v>PCB制造</x:v>
      </x:c>
      <x:c r="C75" s="16" t="str">
        <x:v>远端环境板</x:v>
      </x:c>
      <x:c r="D75" s="16" t="str">
        <x:v>2层SHT45小板</x:v>
      </x:c>
      <x:c r="E75" s="16" t="str">
        <x:v>20×20mm 2L候选</x:v>
      </x:c>
      <x:c r="F75" s="16" t="str">
        <x:v>远离功率阵列</x:v>
      </x:c>
      <x:c r="G75" s="16" t="str">
        <x:v>PCB</x:v>
      </x:c>
      <x:c r="H75" s="20" t="n">
        <x:v>0</x:v>
      </x:c>
      <x:c r="I75" s="20" t="n">
        <x:v>0</x:v>
      </x:c>
      <x:c r="J75" s="20" t="n">
        <x:v>0</x:v>
      </x:c>
      <x:c r="K75" s="20" t="n">
        <x:v>1</x:v>
      </x:c>
      <x:c r="L75" s="20" t="n">
        <x:v>0</x:v>
      </x:c>
      <x:c r="M75" s="23" t="n">
        <x:f>SUM(H75:L75)</x:f>
        <x:v>1</x:v>
      </x:c>
      <x:c r="N75" s="20" t="n">
        <x:v>5</x:v>
      </x:c>
      <x:c r="O75" s="16" t="str">
        <x:v>A</x:v>
      </x:c>
      <x:c r="P75" s="16" t="str">
        <x:v>候选</x:v>
      </x:c>
      <x:c r="Q75" s="16" t="str">
        <x:v>空气温湿度</x:v>
      </x:c>
      <x:c r="R75" s="16" t="str">
        <x:v>靠近声场但防声流影响</x:v>
      </x:c>
      <x:c r="S75" s="16" t="str">
        <x:v>立创商城/授权渠道待查</x:v>
      </x:c>
      <x:c r="T75" s="16" t="str">
        <x:v>https://jlcpcb.com</x:v>
      </x:c>
      <x:c r="U75" s="16" t="str"/>
    </x:row>
    <x:row r="76" ht="43" customHeight="1">
      <x:c r="A76" s="16" t="str">
        <x:v>B-072</x:v>
      </x:c>
      <x:c r="B76" s="16" t="str">
        <x:v>结构</x:v>
      </x:c>
      <x:c r="C76" s="16" t="str">
        <x:v>上下阵列</x:v>
      </x:c>
      <x:c r="D76" s="16" t="str">
        <x:v>对置阵列固定件</x:v>
      </x:c>
      <x:c r="E76" s="16" t="str">
        <x:v>M3非磁性螺钉/尼龙柱/滑轨</x:v>
      </x:c>
      <x:c r="F76" s="16" t="str">
        <x:v>上下间距90-115mm可调，名义100mm</x:v>
      </x:c>
      <x:c r="G76" s="16" t="str">
        <x:v>机械</x:v>
      </x:c>
      <x:c r="H76" s="20" t="n">
        <x:v>0</x:v>
      </x:c>
      <x:c r="I76" s="20" t="n">
        <x:v>0</x:v>
      </x:c>
      <x:c r="J76" s="20" t="n">
        <x:v>0</x:v>
      </x:c>
      <x:c r="K76" s="20" t="n">
        <x:v>0</x:v>
      </x:c>
      <x:c r="L76" s="20" t="n">
        <x:v>1</x:v>
      </x:c>
      <x:c r="M76" s="23" t="n">
        <x:f>SUM(H76:L76)</x:f>
        <x:v>1</x:v>
      </x:c>
      <x:c r="N76" s="20" t="n">
        <x:v>2</x:v>
      </x:c>
      <x:c r="O76" s="16" t="str">
        <x:v>A</x:v>
      </x:c>
      <x:c r="P76" s="16" t="str">
        <x:v>需要机械设计</x:v>
      </x:c>
      <x:c r="Q76" s="16" t="str">
        <x:v>保持几何同轴/角度可调</x:v>
      </x:c>
      <x:c r="R76" s="16" t="str">
        <x:v>有效间距按辐射面中心测量，非板表面</x:v>
      </x:c>
      <x:c r="S76" s="16" t="str">
        <x:v>立创商城/授权渠道待查</x:v>
      </x:c>
      <x:c r="T76" s="16" t="str">
        <x:v>https://github.com/loverlike1216/SonoField-FPGA/tree/main/v5</x:v>
      </x:c>
      <x:c r="U76" s="16" t="str"/>
    </x:row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U2"/>
    <x:mergeCell ref="A3:U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1" hidden="0" customWidth="1"/>
    <x:col min="4" max="4" width="31" hidden="0" customWidth="1"/>
    <x:col min="5" max="5" width="34" hidden="0" customWidth="1"/>
    <x:col min="6" max="6" width="34" hidden="0" customWidth="1"/>
    <x:col min="7" max="7" width="42" hidden="0" customWidth="1"/>
    <x:col min="8" max="8" width="38" hidden="0" customWidth="1"/>
  </x:cols>
  <x:sheetData>
    <x:row r="1" ht="27" customHeight="1">
      <x:c r="A1" s="4" t="str">
        <x:v>强制供电隔离 + 失效安全（AX7020仅信号/计算）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/>
    <x:row r="4" ht="32" customHeight="1">
      <x:c r="A4" s="11" t="str">
        <x:v>电源域</x:v>
      </x:c>
      <x:c r="B4" s="11" t="str">
        <x:v>电源网名/电压</x:v>
      </x:c>
      <x:c r="C4" s="11" t="str">
        <x:v>输入与保护</x:v>
      </x:c>
      <x:c r="D4" s="11" t="str">
        <x:v>供电对象</x:v>
      </x:c>
      <x:c r="E4" s="11" t="str">
        <x:v>禁止</x:v>
      </x:c>
      <x:c r="F4" s="11" t="str">
        <x:v>接口/检测信号</x:v>
      </x:c>
      <x:c r="G4" s="11" t="str">
        <x:v>断电行为</x:v>
      </x:c>
      <x:c r="H4" s="11" t="str">
        <x:v>测试门禁</x:v>
      </x:c>
    </x:row>
    <x:row r="5" ht="42" customHeight="1">
      <x:c r="A5" s="16" t="str">
        <x:v>AX7020主板</x:v>
      </x:c>
      <x:c r="B5" s="16" t="str">
        <x:v>官方标配5V独立电源</x:v>
      </x:c>
      <x:c r="C5" s="16" t="str">
        <x:v>原厂供电接口</x:v>
      </x:c>
      <x:c r="D5" s="16" t="str">
        <x:v>主板PS/PL</x:v>
      </x:c>
      <x:c r="E5" s="16" t="str">
        <x:v>不可连接12V到AX7020</x:v>
      </x:c>
      <x:c r="F5" s="16" t="str">
        <x:v>只经GPIO数据/反馈</x:v>
      </x:c>
      <x:c r="G5" s="16" t="str">
        <x:v>独立主板电源</x:v>
      </x:c>
      <x:c r="H5" s="16" t="str">
        <x:v>必须实板确认</x:v>
      </x:c>
    </x:row>
    <x:row r="6" ht="42" customHeight="1">
      <x:c r="A6" s="16" t="str">
        <x:v>上阵列</x:v>
      </x:c>
      <x:c r="B6" s="16" t="str">
        <x:v>UP_PWR_IN +12V</x:v>
      </x:c>
      <x:c r="C6" s="16" t="str">
        <x:v>独立XT30 + Fuse + TPS25947</x:v>
      </x:c>
      <x:c r="D6" s="16" t="str">
        <x:v>上板64×TX driver + 本地3V3/5V</x:v>
      </x:c>
      <x:c r="E6" s="16" t="str">
        <x:v>严禁从J10/J11取驱动功率</x:v>
      </x:c>
      <x:c r="F6" s="16" t="str">
        <x:v>UP_PGOOD/UP_FAULT; UP_HW_KILL</x:v>
      </x:c>
      <x:c r="G6" s="16" t="str">
        <x:v>上板掉电输出默认禁止；断线不触发</x:v>
      </x:c>
      <x:c r="H6" s="16" t="str">
        <x:v>必须做单板无源/限流/热测试</x:v>
      </x:c>
    </x:row>
    <x:row r="7" ht="42" customHeight="1">
      <x:c r="A7" s="16" t="str">
        <x:v>下阵列</x:v>
      </x:c>
      <x:c r="B7" s="16" t="str">
        <x:v>DN_PWR_IN +12V</x:v>
      </x:c>
      <x:c r="C7" s="16" t="str">
        <x:v>独立XT30 + Fuse + TPS25947</x:v>
      </x:c>
      <x:c r="D7" s="16" t="str">
        <x:v>下板64×TX driver + 本地3V3/5V</x:v>
      </x:c>
      <x:c r="E7" s="16" t="str">
        <x:v>与UP分线、独立保险/开关</x:v>
      </x:c>
      <x:c r="F7" s="16" t="str">
        <x:v>DN_PGOOD/DN_FAULT; DN_HW_KILL</x:v>
      </x:c>
      <x:c r="G7" s="16" t="str">
        <x:v>下板掉电输出默认禁止；断线不触发</x:v>
      </x:c>
      <x:c r="H7" s="16" t="str">
        <x:v>必须做单板无源/限流/热测试</x:v>
      </x:c>
    </x:row>
    <x:row r="8" ht="42" customHeight="1">
      <x:c r="A8" s="16" t="str">
        <x:v>中央ADC/转接板</x:v>
      </x:c>
      <x:c r="B8" s="16" t="str">
        <x:v>AUX_PWR_IN +12V（推荐）</x:v>
      </x:c>
      <x:c r="C8" s="16" t="str">
        <x:v>第三独立XT30+eFuse</x:v>
      </x:c>
      <x:c r="D8" s="16" t="str">
        <x:v>AD7606B、板载数字/模拟电源</x:v>
      </x:c>
      <x:c r="E8" s="16" t="str">
        <x:v>不从AX7020排针取模拟5V</x:v>
      </x:c>
      <x:c r="F8" s="16" t="str">
        <x:v>AUX_PGOOD/AUX_FAULT</x:v>
      </x:c>
      <x:c r="G8" s="16" t="str">
        <x:v>掉电后FPGA输入禁止回灌</x:v>
      </x:c>
      <x:c r="H8" s="16" t="str">
        <x:v>按ADC精密电源检查</x:v>
      </x:c>
    </x:row>
    <x:row r="9" ht="42" customHeight="1">
      <x:c r="A9" s="16" t="str">
        <x:v>共同参考地</x:v>
      </x:c>
      <x:c r="B9" s="16" t="str">
        <x:v>GND_STAR</x:v>
      </x:c>
      <x:c r="C9" s="16" t="str">
        <x:v>在明确节点与信号回流完整性审查后共参考</x:v>
      </x:c>
      <x:c r="D9" s="16" t="str">
        <x:v>高速数字接口/RX模拟返回</x:v>
      </x:c>
      <x:c r="E9" s="16" t="str">
        <x:v>独立电源不等于悬浮地或随意断地</x:v>
      </x:c>
      <x:c r="F9" s="16" t="str">
        <x:v>GND/SHIELD/AGND/DGND</x:v>
      </x:c>
      <x:c r="G9" s="16" t="str">
        <x:v>先接地再开使能；屏蔽接法需测量</x:v>
      </x:c>
      <x:c r="H9" s="16" t="str">
        <x:v>布局/走线/噪声实验</x:v>
      </x:c>
    </x:row>
    <x:row r="10" ht="42" customHeight="1">
      <x:c r="A10" s="16" t="str">
        <x:v>驱动enable</x:v>
      </x:c>
      <x:c r="B10" s="16" t="str">
        <x:v>TX_SAFE_ENABLE</x:v>
      </x:c>
      <x:c r="C10" s="16" t="str">
        <x:v>PGOOD ∧ WATCHDOG ∧ HOST_ALLOW ∧ NOT_FAULT ∧ NOT_ESTOP</x:v>
      </x:c>
      <x:c r="D10" s="16" t="str">
        <x:v>每板本地开门控</x:v>
      </x:c>
      <x:c r="E10" s="16" t="str">
        <x:v>仅依赖FPGA OE不安全</x:v>
      </x:c>
      <x:c r="F10" s="16" t="str">
        <x:v>UP_TX_EN/DN_TX_EN</x:v>
      </x:c>
      <x:c r="G10" s="16" t="str">
        <x:v>默认OFF；断电上电/复位/线缆松脱均OFF</x:v>
      </x:c>
      <x:c r="H10" s="16" t="str">
        <x:v>硬件示波器实证</x:v>
      </x:c>
    </x:row>
    <x:row r="11" ht="42" customHeight="1">
      <x:c r="A11" s="16" t="str">
        <x:v>初次上电</x:v>
      </x:c>
      <x:c r="B11" s="16" t="str">
        <x:v>独立电源限流12V</x:v>
      </x:c>
      <x:c r="C11" s="16" t="str">
        <x:v>先只有1TX，逐步4/16/64路</x:v>
      </x:c>
      <x:c r="D11" s="16" t="str">
        <x:v>发射功率链</x:v>
      </x:c>
      <x:c r="E11" s="16" t="str">
        <x:v>不为NU40C10T宣称最大Vp-p</x:v>
      </x:c>
      <x:c r="F11" s="16" t="str">
        <x:v>VDRV_MON/I_MON/THERM</x:v>
      </x:c>
      <x:c r="G11" s="16" t="str">
        <x:v>双阵列供电可独立打开/关闭</x:v>
      </x:c>
      <x:c r="H11" s="16" t="str">
        <x:v>采购前咨询供应商额定参数</x:v>
      </x:c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21" hidden="0" customWidth="1"/>
    <x:col min="3" max="3" width="13" hidden="0" customWidth="1"/>
    <x:col min="4" max="4" width="20" hidden="0" customWidth="1"/>
    <x:col min="5" max="5" width="31" hidden="0" customWidth="1"/>
    <x:col min="6" max="6" width="44" hidden="0" customWidth="1"/>
    <x:col min="7" max="7" width="27" hidden="0" customWidth="1"/>
    <x:col min="8" max="8" width="44" hidden="0" customWidth="1"/>
  </x:cols>
  <x:sheetData>
    <x:row r="1" ht="27" customHeight="1">
      <x:c r="A1" s="4" t="str">
        <x:v>逻辑接口分组（不等同 AX7020 物理 Pin/XDC）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/>
    <x:row r="4" ht="32" customHeight="1">
      <x:c r="A4" s="11" t="str">
        <x:v>逻辑Net</x:v>
      </x:c>
      <x:c r="B4" s="11" t="str">
        <x:v>方向</x:v>
      </x:c>
      <x:c r="C4" s="11" t="str">
        <x:v>IO数量估计</x:v>
      </x:c>
      <x:c r="D4" s="11" t="str">
        <x:v>逻辑电平</x:v>
      </x:c>
      <x:c r="E4" s="11" t="str">
        <x:v>接口/约束</x:v>
      </x:c>
      <x:c r="F4" s="11" t="str">
        <x:v>用途</x:v>
      </x:c>
      <x:c r="G4" s="11" t="str">
        <x:v>Gate</x:v>
      </x:c>
      <x:c r="H4" s="11" t="str">
        <x:v>备注</x:v>
      </x:c>
    </x:row>
    <x:row r="5" ht="42" customHeight="1">
      <x:c r="A5" s="16" t="str">
        <x:v>TX_DATA_UP[15:0]</x:v>
      </x:c>
      <x:c r="B5" s="16" t="str">
        <x:v>PL→上板</x:v>
      </x:c>
      <x:c r="C5" s="16" t="str">
        <x:v>16</x:v>
      </x:c>
      <x:c r="D5" s="16" t="str">
        <x:v>3V3逻辑候选</x:v>
      </x:c>
      <x:c r="E5" s="16" t="str">
        <x:v>J10/J11通道预算</x:v>
      </x:c>
      <x:c r="F5" s="16" t="str">
        <x:v>32 lane×4 output映射中的上半</x:v>
      </x:c>
      <x:c r="G5" s="16" t="str">
        <x:v>待XDC/外部时序</x:v>
      </x:c>
      <x:c r="H5" s="16" t="str">
        <x:v>不向发射器供电</x:v>
      </x:c>
    </x:row>
    <x:row r="6" ht="42" customHeight="1">
      <x:c r="A6" s="16" t="str">
        <x:v>TX_DATA_DN[15:0]</x:v>
      </x:c>
      <x:c r="B6" s="16" t="str">
        <x:v>PL→下板</x:v>
      </x:c>
      <x:c r="C6" s="16" t="str">
        <x:v>16</x:v>
      </x:c>
      <x:c r="D6" s="16" t="str">
        <x:v>3V3逻辑候选</x:v>
      </x:c>
      <x:c r="E6" s="16" t="str">
        <x:v>J10/J11通道预算</x:v>
      </x:c>
      <x:c r="F6" s="16" t="str">
        <x:v>32 lane×4 output映射中的下半</x:v>
      </x:c>
      <x:c r="G6" s="16" t="str">
        <x:v>待XDC/外部时序</x:v>
      </x:c>
      <x:c r="H6" s="16" t="str">
        <x:v>绝不与上板数据信号混线</x:v>
      </x:c>
    </x:row>
    <x:row r="7" ht="42" customHeight="1">
      <x:c r="A7" s="16" t="str">
        <x:v>UP_SRCLK / UP_RCLK</x:v>
      </x:c>
      <x:c r="B7" s="16" t="str">
        <x:v>PL→上板</x:v>
      </x:c>
      <x:c r="C7" s="16" t="str">
        <x:v>2</x:v>
      </x:c>
      <x:c r="D7" s="16" t="str">
        <x:v>3V3</x:v>
      </x:c>
      <x:c r="E7" s="16" t="str">
        <x:v>同步接口</x:v>
      </x:c>
      <x:c r="F7" s="16" t="str">
        <x:v>SRCLK约66MHz、latch原子发布</x:v>
      </x:c>
      <x:c r="G7" s="16" t="str">
        <x:v>必须源同步时序实测</x:v>
      </x:c>
      <x:c r="H7" s="16" t="str">
        <x:v>不能靠排线模拟通过视为真实通过</x:v>
      </x:c>
    </x:row>
    <x:row r="8" ht="42" customHeight="1">
      <x:c r="A8" s="16" t="str">
        <x:v>DN_SRCLK / DN_RCLK</x:v>
      </x:c>
      <x:c r="B8" s="16" t="str">
        <x:v>PL→下板</x:v>
      </x:c>
      <x:c r="C8" s="16" t="str">
        <x:v>2</x:v>
      </x:c>
      <x:c r="D8" s="16" t="str">
        <x:v>3V3</x:v>
      </x:c>
      <x:c r="E8" s="16" t="str">
        <x:v>同步接口</x:v>
      </x:c>
      <x:c r="F8" s="16" t="str">
        <x:v>保持两阵列一致的phase epoch</x:v>
      </x:c>
      <x:c r="G8" s="16" t="str">
        <x:v>必须源同步时序实测</x:v>
      </x:c>
      <x:c r="H8" s="16" t="str">
        <x:v>单板停电不影响另一板逻辑域</x:v>
      </x:c>
    </x:row>
    <x:row r="9" ht="42" customHeight="1">
      <x:c r="A9" s="16" t="str">
        <x:v>UP_OE / DN_OE</x:v>
      </x:c>
      <x:c r="B9" s="16" t="str">
        <x:v>PL→阵列</x:v>
      </x:c>
      <x:c r="C9" s="16" t="str">
        <x:v>2</x:v>
      </x:c>
      <x:c r="D9" s="16" t="str">
        <x:v>3V3</x:v>
      </x:c>
      <x:c r="E9" s="16" t="str">
        <x:v>驱动禁能</x:v>
      </x:c>
      <x:c r="F9" s="16" t="str">
        <x:v>激活高禁止/外部安全上拉</x:v>
      </x:c>
      <x:c r="G9" s="16" t="str">
        <x:v>硬件门禁</x:v>
      </x:c>
      <x:c r="H9" s="16" t="str">
        <x:v>复位默认安全</x:v>
      </x:c>
    </x:row>
    <x:row r="10" ht="42" customHeight="1">
      <x:c r="A10" s="16" t="str">
        <x:v>UP_RESET / DN_RESET</x:v>
      </x:c>
      <x:c r="B10" s="16" t="str">
        <x:v>PL→阵列</x:v>
      </x:c>
      <x:c r="C10" s="16" t="str">
        <x:v>2</x:v>
      </x:c>
      <x:c r="D10" s="16" t="str">
        <x:v>3V3</x:v>
      </x:c>
      <x:c r="E10" s="16" t="str">
        <x:v>595清零</x:v>
      </x:c>
      <x:c r="F10" s="16" t="str">
        <x:v>复位上电安全</x:v>
      </x:c>
      <x:c r="G10" s="16" t="str">
        <x:v>硬件门禁</x:v>
      </x:c>
      <x:c r="H10" s="16" t="str">
        <x:v>断电不可回灌</x:v>
      </x:c>
    </x:row>
    <x:row r="11" ht="42" customHeight="1">
      <x:c r="A11" s="16" t="str">
        <x:v>UP_BLANK / DN_BLANK</x:v>
      </x:c>
      <x:c r="B11" s="16" t="str">
        <x:v>PL→阵列</x:v>
      </x:c>
      <x:c r="C11" s="16" t="str">
        <x:v>2</x:v>
      </x:c>
      <x:c r="D11" s="16" t="str">
        <x:v>3V3</x:v>
      </x:c>
      <x:c r="E11" s="16" t="str">
        <x:v>RX前端blank</x:v>
      </x:c>
      <x:c r="F11" s="16" t="str">
        <x:v>1=blank到参考</x:v>
      </x:c>
      <x:c r="G11" s="16" t="str">
        <x:v>需测环路时间</x:v>
      </x:c>
      <x:c r="H11" s="16" t="str">
        <x:v>切换接收路径</x:v>
      </x:c>
    </x:row>
    <x:row r="12" ht="42" customHeight="1">
      <x:c r="A12" s="16" t="str">
        <x:v>UP_PGOOD/FAULT + DN_PGOOD/FAULT</x:v>
      </x:c>
      <x:c r="B12" s="16" t="str">
        <x:v>阵列→PL</x:v>
      </x:c>
      <x:c r="C12" s="16" t="str">
        <x:v>4</x:v>
      </x:c>
      <x:c r="D12" s="16" t="str">
        <x:v>开漏/隔离</x:v>
      </x:c>
      <x:c r="E12" s="16" t="str">
        <x:v>板上限流保护回读</x:v>
      </x:c>
      <x:c r="F12" s="16" t="str">
        <x:v>无法观测则系统failsafe</x:v>
      </x:c>
      <x:c r="G12" s="16" t="str">
        <x:v>强制门禁</x:v>
      </x:c>
      <x:c r="H12" s="16" t="str">
        <x:v>必须受断电影响且不回灌</x:v>
      </x:c>
    </x:row>
    <x:row r="13" ht="42" customHeight="1">
      <x:c r="A13" s="16" t="str">
        <x:v>UP_HEARTBEAT / DN_HEARTBEAT</x:v>
      </x:c>
      <x:c r="B13" s="16" t="str">
        <x:v>PL→阵列</x:v>
      </x:c>
      <x:c r="C13" s="16" t="str">
        <x:v>2</x:v>
      </x:c>
      <x:c r="D13" s="16" t="str">
        <x:v>3V3</x:v>
      </x:c>
      <x:c r="E13" s="16" t="str">
        <x:v>本地看门狗</x:v>
      </x:c>
      <x:c r="F13" s="16" t="str">
        <x:v>失联超时断声</x:v>
      </x:c>
      <x:c r="G13" s="16" t="str">
        <x:v>新增架构审查</x:v>
      </x:c>
      <x:c r="H13" s="16" t="str">
        <x:v>防止软件故障波形停留</x:v>
      </x:c>
    </x:row>
    <x:row r="14" ht="42" customHeight="1">
      <x:c r="A14" s="16" t="str">
        <x:v>ADC_DOUT[3:0]</x:v>
      </x:c>
      <x:c r="B14" s="16" t="str">
        <x:v>中央ADC→PL</x:v>
      </x:c>
      <x:c r="C14" s="16" t="str">
        <x:v>4</x:v>
      </x:c>
      <x:c r="D14" s="16" t="str">
        <x:v>VDRIVE=3V3</x:v>
      </x:c>
      <x:c r="E14" s="16" t="str">
        <x:v>AD7606B</x:v>
      </x:c>
      <x:c r="F14" s="16" t="str">
        <x:v>8ch分成4DOUT lanes</x:v>
      </x:c>
      <x:c r="G14" s="16" t="str">
        <x:v>必须RX返回时序约束</x:v>
      </x:c>
      <x:c r="H14" s="16" t="str">
        <x:v>非以太网串口</x:v>
      </x:c>
    </x:row>
    <x:row r="15" ht="42" customHeight="1">
      <x:c r="A15" s="16" t="str">
        <x:v>ADC_CONVST/BUSY/CS/SCLK/SDI/RESET</x:v>
      </x:c>
      <x:c r="B15" s="16" t="str">
        <x:v>PL↔中央ADC</x:v>
      </x:c>
      <x:c r="C15" s="16" t="str">
        <x:v>6</x:v>
      </x:c>
      <x:c r="D15" s="16" t="str">
        <x:v>3V3</x:v>
      </x:c>
      <x:c r="E15" s="16" t="str">
        <x:v>AD7606B</x:v>
      </x:c>
      <x:c r="F15" s="16" t="str">
        <x:v>相位参考与配置</x:v>
      </x:c>
      <x:c r="G15" s="16" t="str">
        <x:v>实板时序与功耗</x:v>
      </x:c>
      <x:c r="H15" s="16" t="str">
        <x:v>依寄存器协议另行核对</x:v>
      </x:c>
    </x:row>
    <x:row r="16" ht="42" customHeight="1">
      <x:c r="A16" s="16" t="str">
        <x:v>I2C_ENV_SCL/SDA</x:v>
      </x:c>
      <x:c r="B16" s="16" t="str">
        <x:v>PS或PL↔远端</x:v>
      </x:c>
      <x:c r="C16" s="16" t="str">
        <x:v>2</x:v>
      </x:c>
      <x:c r="D16" s="16" t="str">
        <x:v>3V3</x:v>
      </x:c>
      <x:c r="E16" s="16" t="str">
        <x:v>SHT45</x:v>
      </x:c>
      <x:c r="F16" s="16" t="str">
        <x:v>传输温湿度</x:v>
      </x:c>
      <x:c r="G16" s="16" t="str">
        <x:v>功能预留</x:v>
      </x:c>
      <x:c r="H16" s="16" t="str">
        <x:v>需检查总线与上拉</x:v>
      </x:c>
    </x:row>
    <x:row r="17" ht="42" customHeight="1">
      <x:c r="A17" s="16" t="str">
        <x:v>J10/J11物理引脚</x:v>
      </x:c>
      <x:c r="B17" s="16" t="str">
        <x:v>AX7020 ↔中央板</x:v>
      </x:c>
      <x:c r="C17" s="16" t="str">
        <x:v>TBD</x:v>
      </x:c>
      <x:c r="D17" s="16" t="str">
        <x:v>BANK34/35以实板为准</x:v>
      </x:c>
      <x:c r="E17" s="16" t="str">
        <x:v>官方+实板交叉核验</x:v>
      </x:c>
      <x:c r="F17" s="16" t="str">
        <x:v>每口34GPIO候选 / 并非所有pin都IO</x:v>
      </x:c>
      <x:c r="G17" s="16" t="str">
        <x:v>禁止猜测XDC</x:v>
      </x:c>
      <x:c r="H17" s="16" t="str">
        <x:v>优先减少总线长排线</x:v>
      </x:c>
    </x:row>
    <x:row r="18" ht="42" customHeight="1">
      <x:c r="A18" s="16" t="str">
        <x:v>UP_PWR_IN / DN_PWR_IN</x:v>
      </x:c>
      <x:c r="B18" s="16" t="str">
        <x:v>电源→各阵列</x:v>
      </x:c>
      <x:c r="C18" s="16" t="str">
        <x:v>2×2</x:v>
      </x:c>
      <x:c r="D18" s="16" t="str">
        <x:v>12V调试起点</x:v>
      </x:c>
      <x:c r="E18" s="16" t="str">
        <x:v>XT30独立接口</x:v>
      </x:c>
      <x:c r="F18" s="16" t="str">
        <x:v>两边独立保险/eFuse</x:v>
      </x:c>
      <x:c r="G18" s="16" t="str">
        <x:v>强制</x:v>
      </x:c>
      <x:c r="H18" s="16" t="str">
        <x:v>不由PL/AX7020输出</x:v>
      </x:c>
    </x:row>
    <x:row r="19" ht="42" customHeight="1">
      <x:c r="A19" s="16" t="str">
        <x:v>RX_UP[0:3],RX_DN[0:3]</x:v>
      </x:c>
      <x:c r="B19" s="16" t="str">
        <x:v>阵列AFE→中央ADC</x:v>
      </x:c>
      <x:c r="C19" s="16" t="str">
        <x:v>8</x:v>
      </x:c>
      <x:c r="D19" s="16" t="str">
        <x:v>模拟0..5V偏置候选</x:v>
      </x:c>
      <x:c r="E19" s="16" t="str">
        <x:v>专用屏蔽四对电缆</x:v>
      </x:c>
      <x:c r="F19" s="16" t="str">
        <x:v>必须每RX相位延迟补偿</x:v>
      </x:c>
      <x:c r="G19" s="16" t="str">
        <x:v>高风险</x:v>
      </x:c>
      <x:c r="H19" s="16" t="str">
        <x:v>不能直接接换能器发射输出</x:v>
      </x:c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8" hidden="0" customWidth="1"/>
    <x:col min="4" max="4" width="39" hidden="0" customWidth="1"/>
    <x:col min="5" max="5" width="50" hidden="0" customWidth="1"/>
    <x:col min="6" max="6" width="16" hidden="0" customWidth="1"/>
    <x:col min="7" max="7" width="34" hidden="0" customWidth="1"/>
  </x:cols>
  <x:sheetData>
    <x:row r="1" ht="27" customHeight="1">
      <x:c r="A1" s="4" t="str">
        <x:v>旧方案 → AX7020 v5 改造与放行质量门禁</x:v>
      </x:c>
      <x:c r="B1" s="4"/>
      <x:c r="C1" s="4"/>
      <x:c r="D1" s="4"/>
      <x:c r="E1" s="4"/>
      <x:c r="F1" s="4"/>
      <x:c r="G1" s="4"/>
    </x:row>
    <x:row r="2" ht="27" customHeight="1">
      <x:c r="A2" s="4"/>
      <x:c r="B2" s="4"/>
      <x:c r="C2" s="4"/>
      <x:c r="D2" s="4"/>
      <x:c r="E2" s="4"/>
      <x:c r="F2" s="4"/>
      <x:c r="G2" s="4"/>
    </x:row>
    <x:row r="3" ht="22" customHeight="1"/>
    <x:row r="4" ht="32" customHeight="1">
      <x:c r="A4" s="11" t="str">
        <x:v>来源层级</x:v>
      </x:c>
      <x:c r="B4" s="11" t="str">
        <x:v>文档/物料</x:v>
      </x:c>
      <x:c r="C4" s="11" t="str">
        <x:v>采信边界</x:v>
      </x:c>
      <x:c r="D4" s="11" t="str">
        <x:v>URL</x:v>
      </x:c>
      <x:c r="E4" s="11" t="str">
        <x:v>证据/验证</x:v>
      </x:c>
      <x:c r="F4" s="11" t="str">
        <x:v>状态</x:v>
      </x:c>
      <x:c r="G4" s="11" t="str">
        <x:v>注意</x:v>
      </x:c>
    </x:row>
    <x:row r="5" ht="42" customHeight="1">
      <x:c r="A5" s="16" t="str">
        <x:v>工程事实</x:v>
      </x:c>
      <x:c r="B5" s="16" t="str">
        <x:v>用户项目v5 BOM_MASTER.csv</x:v>
      </x:c>
      <x:c r="C5" s="16" t="str">
        <x:v>原始数量/料号/备注：基线不是新电气批准</x:v>
      </x:c>
      <x:c r="D5" s="16" t="str">
        <x:v>https://github.com/loverlike1216/SonoField-FPGA/blob/main/v5/hardware/bom/BOM_MASTER.csv</x:v>
      </x:c>
      <x:c r="E5" s="16" t="str">
        <x:v>先实板rev/芯片/扩展口查验</x:v>
      </x:c>
      <x:c r="F5" s="16" t="str">
        <x:v>HOLD</x:v>
      </x:c>
      <x:c r="G5" s="16" t="str">
        <x:v>新XDC只在锁pin后</x:v>
      </x:c>
    </x:row>
    <x:row r="6" ht="42" customHeight="1">
      <x:c r="A6" s="16" t="str">
        <x:v>工程事实</x:v>
      </x:c>
      <x:c r="B6" s="16" t="str">
        <x:v>SonoField v5 当前主线</x:v>
      </x:c>
      <x:c r="C6" s="16" t="str">
        <x:v>当前版本、待上板验收、方案优先级</x:v>
      </x:c>
      <x:c r="D6" s="16" t="str">
        <x:v>https://github.com/loverlike1216/SonoField-FPGA/tree/main/v5</x:v>
      </x:c>
      <x:c r="E6" s="16" t="str">
        <x:v>厂商T/R资料、尺寸、C0、允许Vp-p、频响、极性</x:v>
      </x:c>
      <x:c r="F6" s="16" t="str">
        <x:v>HOLD</x:v>
      </x:c>
      <x:c r="G6" s="16" t="str">
        <x:v>不能套用NU40C16T datasheet</x:v>
      </x:c>
    </x:row>
    <x:row r="7" ht="42" customHeight="1">
      <x:c r="A7" s="16" t="str">
        <x:v>官方硬件</x:v>
      </x:c>
      <x:c r="B7" s="16" t="str">
        <x:v>ALINX AX7020 用户手册</x:v>
      </x:c>
      <x:c r="C7" s="16" t="str">
        <x:v>板卡参考料号、J10/J11以及VCCO，必须实板校验</x:v>
      </x:c>
      <x:c r="D7" s="16" t="str">
        <x:v>https://www.alinx.com/public/upload/file/AX7020_UG.pdf</x:v>
      </x:c>
      <x:c r="E7" s="16" t="str">
        <x:v>需采购实样 + phase/sensitivity测量</x:v>
      </x:c>
      <x:c r="F7" s="16" t="str">
        <x:v>HOLD</x:v>
      </x:c>
      <x:c r="G7" s="16" t="str">
        <x:v>8个安装 + 备件</x:v>
      </x:c>
    </x:row>
    <x:row r="8" ht="42" customHeight="1">
      <x:c r="A8" s="16" t="str">
        <x:v>制造商</x:v>
      </x:c>
      <x:c r="B8" s="16" t="str">
        <x:v>Analog Devices AD7606B</x:v>
      </x:c>
      <x:c r="C8" s="16" t="str">
        <x:v>8x16bit/800kSPS、AVCC=5V、VDRIVE</x:v>
      </x:c>
      <x:c r="D8" s="16" t="str">
        <x:v>https://www.analog.com/en/products/ad7606b.html</x:v>
      </x:c>
      <x:c r="E8" s="16" t="str">
        <x:v>分别熔断/eFuse/PGOOD/KILL/欠压/急停</x:v>
      </x:c>
      <x:c r="F8" s="16" t="str">
        <x:v>MANDATORY</x:v>
      </x:c>
      <x:c r="G8" s="16" t="str">
        <x:v>主控不供功率</x:v>
      </x:c>
    </x:row>
    <x:row r="9" ht="42" customHeight="1">
      <x:c r="A9" s="16" t="str">
        <x:v>制造商</x:v>
      </x:c>
      <x:c r="B9" s="16" t="str">
        <x:v>Microchip TC4427A</x:v>
      </x:c>
      <x:c r="C9" s="16" t="str">
        <x:v>驱动器规格、输出热与载流能力</x:v>
      </x:c>
      <x:c r="D9" s="16" t="str">
        <x:v>https://www.microchip.com/en-us/product/TC4427A</x:v>
      </x:c>
      <x:c r="E9" s="16" t="str">
        <x:v>同步四DOUT、ADC电源、输入阻抗/回流</x:v>
      </x:c>
      <x:c r="F9" s="16" t="str">
        <x:v>HOLD</x:v>
      </x:c>
      <x:c r="G9" s="16" t="str">
        <x:v>8路同时采集</x:v>
      </x:c>
    </x:row>
    <x:row r="10" ht="42" customHeight="1">
      <x:c r="A10" s="16" t="str">
        <x:v>制造商</x:v>
      </x:c>
      <x:c r="B10" s="16" t="str">
        <x:v>TI SN74LVC595A</x:v>
      </x:c>
      <x:c r="C10" s="16" t="str">
        <x:v>寄存器功能、运行电压、SRCLK时序</x:v>
      </x:c>
      <x:c r="D10" s="16" t="str">
        <x:v>https://www.ti.com/product/SN74LVC595A</x:v>
      </x:c>
      <x:c r="E10" s="16" t="str">
        <x:v>最低11cycles/cmd与实际66MHz外部时序</x:v>
      </x:c>
      <x:c r="F10" s="16" t="str">
        <x:v>HOLD</x:v>
      </x:c>
      <x:c r="G10" s="16" t="str">
        <x:v>不能私自降级到16lane</x:v>
      </x:c>
    </x:row>
    <x:row r="11" ht="42" customHeight="1">
      <x:c r="A11" s="16" t="str">
        <x:v>制造商</x:v>
      </x:c>
      <x:c r="B11" s="16" t="str">
        <x:v>TI SN74AXC8T245</x:v>
      </x:c>
      <x:c r="C11" s="16" t="str">
        <x:v>双电源最高3.6V，不是5V转换</x:v>
      </x:c>
      <x:c r="D11" s="16" t="str">
        <x:v>https://www.ti.com/product/SN74AXC8T245</x:v>
      </x:c>
      <x:c r="E11" s="16" t="str">
        <x:v>NU40C10T电气&amp;热&amp;走线测量</x:v>
      </x:c>
      <x:c r="F11" s="16" t="str">
        <x:v>HOLD</x:v>
      </x:c>
      <x:c r="G11" s="16" t="str">
        <x:v>先单TX再扩满64</x:v>
      </x:c>
    </x:row>
    <x:row r="12" ht="42" customHeight="1">
      <x:c r="A12" s="16" t="str">
        <x:v>制造商</x:v>
      </x:c>
      <x:c r="B12" s="16" t="str">
        <x:v>TI TPS25947</x:v>
      </x:c>
      <x:c r="C12" s="16" t="str">
        <x:v>eFuse电流限制、OVLO、保护</x:v>
      </x:c>
      <x:c r="D12" s="16" t="str">
        <x:v>https://www.ti.com/product/TPS25947</x:v>
      </x:c>
      <x:c r="E12" s="16" t="str">
        <x:v>新原理图网络输出BOM自动核对</x:v>
      </x:c>
      <x:c r="F12" s="16" t="str">
        <x:v>HOLD</x:v>
      </x:c>
      <x:c r="G12" s="16" t="str">
        <x:v>本表非PCBA贴装网表</x:v>
      </x:c>
    </x:row>
    <x:row r="13" ht="42" customHeight="1">
      <x:c r="A13" s="16" t="str">
        <x:v>制造商</x:v>
      </x:c>
      <x:c r="B13" s="16" t="str">
        <x:v>TI TMUX1574</x:v>
      </x:c>
      <x:c r="C13" s="16" t="str">
        <x:v>四个2:1模拟开关，保护有限</x:v>
      </x:c>
      <x:c r="D13" s="16" t="str">
        <x:v>https://www.ti.com/product/TMUX1574</x:v>
      </x:c>
      <x:c r="E13" s="16" t="str">
        <x:v>实板标号/万用表/同版原理图证据</x:v>
      </x:c>
      <x:c r="F13" s="16" t="str">
        <x:v>BLOCK</x:v>
      </x:c>
      <x:c r="G13" s="16" t="str">
        <x:v>不能假约束或改旧pin</x:v>
      </x:c>
    </x:row>
    <x:row r="14" ht="42" customHeight="1">
      <x:c r="A14" s="16" t="str">
        <x:v>制造商</x:v>
      </x:c>
      <x:c r="B14" s="16" t="str">
        <x:v>Sensirion SHT45</x:v>
      </x:c>
      <x:c r="C14" s="16" t="str">
        <x:v>温湿度传感器</x:v>
      </x:c>
      <x:c r="D14" s="16" t="str">
        <x:v>https://sensirion.com/products/catalog/SHT45</x:v>
      </x:c>
      <x:c r="E14" s="16" t="str">
        <x:v>频响/驱动/电容/极性/尺寸记录</x:v>
      </x:c>
      <x:c r="F14" s="16" t="str">
        <x:v>BLOCK</x:v>
      </x:c>
      <x:c r="G14" s="16" t="str">
        <x:v>任何板图打孔前必做</x:v>
      </x:c>
    </x:row>
    <x:row r="15" ht="42" customHeight="1">
      <x:c r="A15" s="16" t="str">
        <x:v>资料不足</x:v>
      </x:c>
      <x:c r="B15" s="16" t="str">
        <x:v>NU40C16T/R-1 16mm规格书（只作反例）</x:v>
      </x:c>
      <x:c r="C15" s="16" t="str">
        <x:v>不能外推到用户10mm NU40C10T</x:v>
      </x:c>
      <x:c r="D15" s="16" t="str">
        <x:v>https://files.seeedstudio.com/wiki/Grove_Ultrasonic_Ranger/res/NU40C16T-R-1.pdf</x:v>
      </x:c>
      <x:c r="E15" s="16" t="str">
        <x:v>完全断电/半掉电/主控掉电/急停场景</x:v>
      </x:c>
      <x:c r="F15" s="16" t="str">
        <x:v>BLOCK</x:v>
      </x:c>
      <x:c r="G15" s="16" t="str">
        <x:v>驱动器永远默认disabled</x:v>
      </x:c>
    </x:row>
    <x:row r="16" ht="42" customHeight="1">
      <x:c r="A16" s="16" t="str">
        <x:v>待用户供应商</x:v>
      </x:c>
      <x:c r="B16" s="16" t="str">
        <x:v>NU40C10T正式资料</x:v>
      </x:c>
      <x:c r="C16" s="16" t="str">
        <x:v>网页未核实到可追溯完整数据表；绝不编造</x:v>
      </x:c>
      <x:c r="D16" s="16" t="str">
        <x:v>待用户提供或供应商盖章/公开有效直链</x:v>
      </x:c>
      <x:c r="E16" s="16" t="str">
        <x:v>示波器/ILA + routed timing + 真实线束</x:v>
      </x:c>
      <x:c r="F16" s="16" t="str">
        <x:v>BLOCK</x:v>
      </x:c>
      <x:c r="G16" s="16" t="str">
        <x:v>不能以OOC synthesis声称通过</x:v>
      </x:c>
    </x:row>
    <x:row r="17" ht="42" customHeight="1">
      <x:c r="A17" s="16" t="str">
        <x:v>G-05</x:v>
      </x:c>
      <x:c r="B17" s="16" t="str">
        <x:v>制造前质量门禁</x:v>
      </x:c>
      <x:c r="C17" s="16" t="str">
        <x:v>—</x:v>
      </x:c>
      <x:c r="D17" s="16" t="str">
        <x:v>原理图ERC、网表/BOM、工程审查</x:v>
      </x:c>
      <x:c r="E17" s="16" t="str">
        <x:v>电源分配、模拟/数字分区、复核Routings</x:v>
      </x:c>
      <x:c r="F17" s="16" t="str">
        <x:v>BLOCK</x:v>
      </x:c>
      <x:c r="G17" s="16" t="str">
        <x:v>本轮只出原理图方案不制造</x:v>
      </x:c>
    </x:row>
    <x:row r="18" ht="42" customHeight="1">
      <x:c r="A18" s="16" t="str">
        <x:v>G-06</x:v>
      </x:c>
      <x:c r="B18" s="16" t="str">
        <x:v>验证门禁</x:v>
      </x:c>
      <x:c r="C18" s="16" t="str">
        <x:v>—</x:v>
      </x:c>
      <x:c r="D18" s="16" t="str">
        <x:v>外设单路→4→16→64→双阵列</x:v>
      </x:c>
      <x:c r="E18" s="16" t="str">
        <x:v>示波器测电流/声场/温度/故障</x:v>
      </x:c>
      <x:c r="F18" s="16" t="str">
        <x:v>BLOCK</x:v>
      </x:c>
      <x:c r="G18" s="16" t="str">
        <x:v>50mg EPS不是已验证结果</x:v>
      </x:c>
    </x:row>
    <x:row r="19" ht="22" customHeight="1">
      <x:c r="A19" s="16"/>
      <x:c r="B19" s="16"/>
      <x:c r="C19" s="16"/>
      <x:c r="D19" s="16"/>
      <x:c r="E19" s="16"/>
      <x:c r="F19" s="16"/>
      <x:c r="G19" s="16"/>
    </x:row>
    <x:row r="20" ht="22" customHeight="1">
      <x:c r="A20" s="16"/>
      <x:c r="B20" s="16"/>
      <x:c r="C20" s="16"/>
      <x:c r="D20" s="16"/>
      <x:c r="E20" s="16"/>
      <x:c r="F20" s="16"/>
      <x:c r="G20" s="16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5" hidden="0" customWidth="1"/>
    <x:col min="3" max="3" width="55" hidden="0" customWidth="1"/>
    <x:col min="4" max="4" width="72" hidden="0" customWidth="1"/>
  </x:cols>
  <x:sheetData>
    <x:row r="1" ht="27" customHeight="1">
      <x:c r="A1" s="4" t="str">
        <x:v>资料来源、可靠性与适用范围</x:v>
      </x:c>
      <x:c r="B1" s="4"/>
      <x:c r="C1" s="4"/>
      <x:c r="D1" s="4"/>
    </x:row>
    <x:row r="2" ht="27" customHeight="1">
      <x:c r="A2" s="4"/>
      <x:c r="B2" s="4"/>
      <x:c r="C2" s="4"/>
      <x:c r="D2" s="4"/>
    </x:row>
    <x:row r="3" ht="22" customHeight="1"/>
    <x:row r="4" ht="32" customHeight="1">
      <x:c r="A4" s="11"/>
      <x:c r="B4" s="11"/>
      <x:c r="C4" s="11"/>
      <x:c r="D4" s="11"/>
    </x:row>
    <x:row r="5" ht="42" customHeight="1">
      <x:c r="A5" s="16"/>
      <x:c r="B5" s="16"/>
      <x:c r="C5" s="16"/>
      <x:c r="D5" s="16"/>
    </x:row>
    <x:row r="6" ht="42" customHeight="1">
      <x:c r="A6" s="16"/>
      <x:c r="B6" s="16"/>
      <x:c r="C6" s="16"/>
      <x:c r="D6" s="16"/>
    </x:row>
    <x:row r="7" ht="42" customHeight="1">
      <x:c r="A7" s="16"/>
      <x:c r="B7" s="16"/>
      <x:c r="C7" s="16"/>
      <x:c r="D7" s="16"/>
    </x:row>
    <x:row r="8" ht="42" customHeight="1">
      <x:c r="A8" s="16"/>
      <x:c r="B8" s="16"/>
      <x:c r="C8" s="16"/>
      <x:c r="D8" s="16"/>
    </x:row>
    <x:row r="9" ht="42" customHeight="1">
      <x:c r="A9" s="16"/>
      <x:c r="B9" s="16"/>
      <x:c r="C9" s="16"/>
      <x:c r="D9" s="16"/>
    </x:row>
    <x:row r="10" ht="42" customHeight="1">
      <x:c r="A10" s="16"/>
      <x:c r="B10" s="16"/>
      <x:c r="C10" s="16"/>
      <x:c r="D10" s="16"/>
    </x:row>
    <x:row r="11" ht="42" customHeight="1">
      <x:c r="A11" s="16"/>
      <x:c r="B11" s="16"/>
      <x:c r="C11" s="16"/>
      <x:c r="D11" s="16"/>
    </x:row>
    <x:row r="12" ht="42" customHeight="1">
      <x:c r="A12" s="16"/>
      <x:c r="B12" s="16"/>
      <x:c r="C12" s="16"/>
      <x:c r="D12" s="16"/>
    </x:row>
    <x:row r="13" ht="42" customHeight="1">
      <x:c r="A13" s="16"/>
      <x:c r="B13" s="16"/>
      <x:c r="C13" s="16"/>
      <x:c r="D13" s="16"/>
    </x:row>
    <x:row r="14" ht="42" customHeight="1">
      <x:c r="A14" s="16"/>
      <x:c r="B14" s="16"/>
      <x:c r="C14" s="16"/>
      <x:c r="D14" s="16"/>
    </x:row>
    <x:row r="15" ht="42" customHeight="1">
      <x:c r="A15" s="16"/>
      <x:c r="B15" s="16"/>
      <x:c r="C15" s="16"/>
      <x:c r="D15" s="16"/>
    </x:row>
    <x:row r="16" ht="42" customHeight="1">
      <x:c r="A16" s="16"/>
      <x:c r="B16" s="16"/>
      <x:c r="C16" s="16"/>
      <x:c r="D16" s="16"/>
    </x:row>
    <x:row r="17" ht="42" customHeight="1">
      <x:c r="A17" s="16"/>
      <x:c r="B17" s="16"/>
      <x:c r="C17" s="16"/>
      <x:c r="D17" s="16"/>
    </x:row>
    <x:row r="18" ht="22" customHeight="1">
      <x:c r="A18" s="16"/>
      <x:c r="B18" s="16"/>
      <x:c r="C18" s="16"/>
      <x:c r="D18" s="16"/>
    </x:row>
    <x:row r="19" ht="22" customHeight="1">
      <x:c r="A19" s="16"/>
      <x:c r="B19" s="16"/>
      <x:c r="C19" s="16"/>
      <x:c r="D19" s="16"/>
    </x:row>
    <x:row r="20" ht="22" customHeight="1">
      <x:c r="A20" s="16"/>
      <x:c r="B20" s="16"/>
      <x:c r="C20" s="16"/>
      <x:c r="D20" s="16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D2"/>
  </x:mergeCells>
  <x:pageMargins left="0.7" right="0.7" top="0.75" bottom="0.75" header="0.3" footer="0.3"/>
</x:worksheet>
</file>