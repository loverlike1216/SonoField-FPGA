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f00578278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68bdffd22c4b0f"/>
    <x:sheet xmlns:r="http://schemas.openxmlformats.org/officeDocument/2006/relationships" name="Central" sheetId="2" r:id="R419abb52ad6442a1"/>
    <x:sheet xmlns:r="http://schemas.openxmlformats.org/officeDocument/2006/relationships" name="Upper" sheetId="3" r:id="R23ae6dedd3764aff"/>
    <x:sheet xmlns:r="http://schemas.openxmlformats.org/officeDocument/2006/relationships" name="Lower" sheetId="4" r:id="R8b212bce41a9474e"/>
    <x:sheet xmlns:r="http://schemas.openxmlformats.org/officeDocument/2006/relationships" name="External" sheetId="5" r:id="R637c496b740644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66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200" fontId="0" fillId="0" borderId="0" xfId="0" applyNumberFormat="1" applyFont="1" applyFill="1" applyBorder="1" applyAlignment="1">
      <x:alignment horizontal="right"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right" wrapText="1"/>
    </x:xf>
    <x:xf numFmtId="200" fontId="2" fillId="0" borderId="0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e3cc192e54ebc" /><Relationship Type="http://schemas.openxmlformats.org/officeDocument/2006/relationships/theme" Target="/xl/theme/theme1.xml" Id="Racb4e9cfb32242ce" /><Relationship Type="http://schemas.openxmlformats.org/officeDocument/2006/relationships/sharedStrings" Target="/xl/sharedStrings.xml" Id="R43e30da2f1c54888" /><Relationship Type="http://schemas.openxmlformats.org/officeDocument/2006/relationships/worksheet" Target="/xl/worksheets/sheet1.xml" Id="Rd668bdffd22c4b0f" /><Relationship Type="http://schemas.openxmlformats.org/officeDocument/2006/relationships/worksheet" Target="/xl/worksheets/sheet2.xml" Id="R419abb52ad6442a1" /><Relationship Type="http://schemas.openxmlformats.org/officeDocument/2006/relationships/worksheet" Target="/xl/worksheets/sheet3.xml" Id="R23ae6dedd3764aff" /><Relationship Type="http://schemas.openxmlformats.org/officeDocument/2006/relationships/worksheet" Target="/xl/worksheets/sheet4.xml" Id="R8b212bce41a9474e" /><Relationship Type="http://schemas.openxmlformats.org/officeDocument/2006/relationships/worksheet" Target="/xl/worksheets/sheet5.xml" Id="R637c496b740644f8" /></Relationships>
</file>

<file path=xl/tables/table1.xml><?xml version="1.0" encoding="utf-8"?>
<x:table xmlns:x="http://schemas.openxmlformats.org/spreadsheetml/2006/main" id="5" name="SystemParts" displayName="SystemParts" ref="A4:H105" headerRowCount="1" totalsRowCount="0" totalsRowShown="0">
  <x:tableColumns count="8">
    <x:tableColumn id="1" name="ID"/>
    <x:tableColumn id="2" name="完整MPN / 待定标记"/>
    <x:tableColumn id="3" name="上阵列"/>
    <x:tableColumn id="4" name="下阵列"/>
    <x:tableColumn id="5" name="中央"/>
    <x:tableColumn id="6" name="外部"/>
    <x:tableColumn id="7" name="总装机数量"/>
    <x:tableColumn id="8" name="含备件计划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entralParts" displayName="CentralParts" ref="A4:V105" headerRowCount="1" totalsRowCount="0" totalsRowShown="0">
  <x:tableColumns count="22">
    <x:tableColumn id="1" name="ID"/>
    <x:tableColumn id="2" name="器件名称"/>
    <x:tableColumn id="3" name="完整MPN / 待定标记"/>
    <x:tableColumn id="4" name="原厂"/>
    <x:tableColumn id="5" name="装机数"/>
    <x:tableColumn id="6" name="备件率"/>
    <x:tableColumn id="7" name="计划数量"/>
    <x:tableColumn id="8" name="位号"/>
    <x:tableColumn id="9" name="封装 / Pin1 / EP"/>
    <x:tableColumn id="10" name="主要额定 / 用途"/>
    <x:tableColumn id="11" name="电流 A"/>
    <x:tableColumn id="12" name="供电域"/>
    <x:tableColumn id="13" name="原厂资料链接"/>
    <x:tableColumn id="14" name="国内供应商 / 替代"/>
    <x:tableColumn id="15" name="Datasheet版本"/>
    <x:tableColumn id="16" name="检索日期"/>
    <x:tableColumn id="17" name="器件筛选状态"/>
    <x:tableColumn id="18" name="批准来源"/>
    <x:tableColumn id="19" name="未知及证明路径"/>
    <x:tableColumn id="20" name="单价 CNY"/>
    <x:tableColumn id="21" name="装配侧"/>
    <x:tableColumn id="22" name="采购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UpperParts" displayName="UpperParts" ref="A4:V105" headerRowCount="1" totalsRowCount="0" totalsRowShown="0">
  <x:tableColumns count="22">
    <x:tableColumn id="1" name="ID"/>
    <x:tableColumn id="2" name="器件名称"/>
    <x:tableColumn id="3" name="完整MPN / 待定标记"/>
    <x:tableColumn id="4" name="原厂"/>
    <x:tableColumn id="5" name="装机数"/>
    <x:tableColumn id="6" name="备件率"/>
    <x:tableColumn id="7" name="计划数量"/>
    <x:tableColumn id="8" name="位号"/>
    <x:tableColumn id="9" name="封装 / Pin1 / EP"/>
    <x:tableColumn id="10" name="主要额定 / 用途"/>
    <x:tableColumn id="11" name="电流 A"/>
    <x:tableColumn id="12" name="供电域"/>
    <x:tableColumn id="13" name="原厂资料链接"/>
    <x:tableColumn id="14" name="国内供应商 / 替代"/>
    <x:tableColumn id="15" name="Datasheet版本"/>
    <x:tableColumn id="16" name="检索日期"/>
    <x:tableColumn id="17" name="器件筛选状态"/>
    <x:tableColumn id="18" name="批准来源"/>
    <x:tableColumn id="19" name="未知及证明路径"/>
    <x:tableColumn id="20" name="单价 CNY"/>
    <x:tableColumn id="21" name="装配侧"/>
    <x:tableColumn id="22" name="采购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LowerParts" displayName="LowerParts" ref="A4:V105" headerRowCount="1" totalsRowCount="0" totalsRowShown="0">
  <x:tableColumns count="22">
    <x:tableColumn id="1" name="ID"/>
    <x:tableColumn id="2" name="器件名称"/>
    <x:tableColumn id="3" name="完整MPN / 待定标记"/>
    <x:tableColumn id="4" name="原厂"/>
    <x:tableColumn id="5" name="装机数"/>
    <x:tableColumn id="6" name="备件率"/>
    <x:tableColumn id="7" name="计划数量"/>
    <x:tableColumn id="8" name="位号"/>
    <x:tableColumn id="9" name="封装 / Pin1 / EP"/>
    <x:tableColumn id="10" name="主要额定 / 用途"/>
    <x:tableColumn id="11" name="电流 A"/>
    <x:tableColumn id="12" name="供电域"/>
    <x:tableColumn id="13" name="原厂资料链接"/>
    <x:tableColumn id="14" name="国内供应商 / 替代"/>
    <x:tableColumn id="15" name="Datasheet版本"/>
    <x:tableColumn id="16" name="检索日期"/>
    <x:tableColumn id="17" name="器件筛选状态"/>
    <x:tableColumn id="18" name="批准来源"/>
    <x:tableColumn id="19" name="未知及证明路径"/>
    <x:tableColumn id="20" name="单价 CNY"/>
    <x:tableColumn id="21" name="装配侧"/>
    <x:tableColumn id="22" name="采购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ExternalParts" displayName="ExternalParts" ref="A4:V105" headerRowCount="1" totalsRowCount="0" totalsRowShown="0">
  <x:tableColumns count="22">
    <x:tableColumn id="1" name="ID"/>
    <x:tableColumn id="2" name="器件名称"/>
    <x:tableColumn id="3" name="完整MPN / 待定标记"/>
    <x:tableColumn id="4" name="原厂"/>
    <x:tableColumn id="5" name="装机数"/>
    <x:tableColumn id="6" name="备件率"/>
    <x:tableColumn id="7" name="计划数量"/>
    <x:tableColumn id="8" name="位号"/>
    <x:tableColumn id="9" name="封装 / Pin1 / EP"/>
    <x:tableColumn id="10" name="主要额定 / 用途"/>
    <x:tableColumn id="11" name="电流 A"/>
    <x:tableColumn id="12" name="供电域"/>
    <x:tableColumn id="13" name="原厂资料链接"/>
    <x:tableColumn id="14" name="国内供应商 / 替代"/>
    <x:tableColumn id="15" name="Datasheet版本"/>
    <x:tableColumn id="16" name="检索日期"/>
    <x:tableColumn id="17" name="器件筛选状态"/>
    <x:tableColumn id="18" name="批准来源"/>
    <x:tableColumn id="19" name="未知及证明路径"/>
    <x:tableColumn id="20" name="单价 CNY"/>
    <x:tableColumn id="21" name="装配侧"/>
    <x:tableColumn id="22" name="采购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d7f762ff9f44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e7e1d193bb44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ae20b0b58254a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cdbc90d67c548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9a08d29381b4ce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59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20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</x:row>
    <x:row r="2">
      <x:c r="A2" s="12" t="str">
        <x:v>SonoField v5 三 PCB 采购审核候选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</x:row>
    <x:row r="3">
      <x:c r="A3" s="9" t="str">
        <x:v>128 TX / 8 RX / 1 C16 / 3 TMP117；四路独立供电；全部采购 HOLD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</x:row>
    <x:row r="4" ht="32" customHeight="1">
      <x:c r="A4" s="10" t="str">
        <x:v>ID</x:v>
      </x:c>
      <x:c r="B4" s="10" t="str">
        <x:v>完整MPN / 待定标记</x:v>
      </x:c>
      <x:c r="C4" s="10" t="str">
        <x:v>上阵列</x:v>
      </x:c>
      <x:c r="D4" s="10" t="str">
        <x:v>下阵列</x:v>
      </x:c>
      <x:c r="E4" s="10" t="str">
        <x:v>中央</x:v>
      </x:c>
      <x:c r="F4" s="10" t="str">
        <x:v>外部</x:v>
      </x:c>
      <x:c r="G4" s="10" t="str">
        <x:v>总装机数量</x:v>
      </x:c>
      <x:c r="H4" s="10" t="str">
        <x:v>含备件计划</x:v>
      </x:c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</x:row>
    <x:row r="5" ht="34" customHeight="1">
      <x:c r="A5" s="11" t="str">
        <x:v>B-001</x:v>
      </x:c>
      <x:c r="B5" s="11" t="str">
        <x:v>NU40C10T-2_ORDER_CODE_PENDING_VENDOR</x:v>
      </x:c>
      <x:c r="C5" s="11" t="n">
        <x:f>'Upper'!E5</x:f>
        <x:v>64</x:v>
      </x:c>
      <x:c r="D5" s="11" t="n">
        <x:f>'Lower'!E5</x:f>
        <x:v>64</x:v>
      </x:c>
      <x:c r="E5" s="11" t="n">
        <x:f>'Central'!E5</x:f>
        <x:v>0</x:v>
      </x:c>
      <x:c r="F5" s="11" t="n">
        <x:f>'External'!E5</x:f>
        <x:v>0</x:v>
      </x:c>
      <x:c r="G5" s="11" t="n">
        <x:f>SUM(C5:F5)</x:f>
        <x:v>128</x:v>
      </x:c>
      <x:c r="H5" s="11" t="n">
        <x:f>SUM('Upper'!G5,'Lower'!G5,'Central'!G5,'External'!G5)</x:f>
        <x:v>142</x:v>
      </x:c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</x:row>
    <x:row r="6" ht="34" customHeight="1">
      <x:c r="A6" s="11" t="str">
        <x:v>B-002</x:v>
      </x:c>
      <x:c r="B6" s="11" t="str">
        <x:v>NU40C10R-2_CANDIDATE_EXACT_RX_MPN_HOLD</x:v>
      </x:c>
      <x:c r="C6" s="11" t="n">
        <x:f>'Upper'!E6</x:f>
        <x:v>4</x:v>
      </x:c>
      <x:c r="D6" s="11" t="n">
        <x:f>'Lower'!E6</x:f>
        <x:v>4</x:v>
      </x:c>
      <x:c r="E6" s="11" t="n">
        <x:f>'Central'!E6</x:f>
        <x:v>0</x:v>
      </x:c>
      <x:c r="F6" s="11" t="n">
        <x:f>'External'!E6</x:f>
        <x:v>0</x:v>
      </x:c>
      <x:c r="G6" s="11" t="n">
        <x:f>SUM(C6:F6)</x:f>
        <x:v>8</x:v>
      </x:c>
      <x:c r="H6" s="11" t="n">
        <x:f>SUM('Upper'!G6,'Lower'!G6,'Central'!G6,'External'!G6)</x:f>
        <x:v>10</x:v>
      </x:c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</x:row>
    <x:row r="7" ht="34" customHeight="1">
      <x:c r="A7" s="11" t="str">
        <x:v>B-003</x:v>
      </x:c>
      <x:c r="B7" s="11" t="str">
        <x:v>TC4427AEOA713</x:v>
      </x:c>
      <x:c r="C7" s="11" t="n">
        <x:f>'Upper'!E7</x:f>
        <x:v>32</x:v>
      </x:c>
      <x:c r="D7" s="11" t="n">
        <x:f>'Lower'!E7</x:f>
        <x:v>32</x:v>
      </x:c>
      <x:c r="E7" s="11" t="n">
        <x:f>'Central'!E7</x:f>
        <x:v>0</x:v>
      </x:c>
      <x:c r="F7" s="11" t="n">
        <x:f>'External'!E7</x:f>
        <x:v>0</x:v>
      </x:c>
      <x:c r="G7" s="11" t="n">
        <x:f>SUM(C7:F7)</x:f>
        <x:v>64</x:v>
      </x:c>
      <x:c r="H7" s="11" t="n">
        <x:f>SUM('Upper'!G7,'Lower'!G7,'Central'!G7,'External'!G7)</x:f>
        <x:v>72</x:v>
      </x:c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</x:row>
    <x:row r="8" ht="34" customHeight="1">
      <x:c r="A8" s="11" t="str">
        <x:v>B-004</x:v>
      </x:c>
      <x:c r="B8" s="11" t="str">
        <x:v>SN74LVC595APWR</x:v>
      </x:c>
      <x:c r="C8" s="11" t="n">
        <x:f>'Upper'!E8</x:f>
        <x:v>16</x:v>
      </x:c>
      <x:c r="D8" s="11" t="n">
        <x:f>'Lower'!E8</x:f>
        <x:v>16</x:v>
      </x:c>
      <x:c r="E8" s="11" t="n">
        <x:f>'Central'!E8</x:f>
        <x:v>0</x:v>
      </x:c>
      <x:c r="F8" s="11" t="n">
        <x:f>'External'!E8</x:f>
        <x:v>0</x:v>
      </x:c>
      <x:c r="G8" s="11" t="n">
        <x:f>SUM(C8:F8)</x:f>
        <x:v>32</x:v>
      </x:c>
      <x:c r="H8" s="11" t="n">
        <x:f>SUM('Upper'!G8,'Lower'!G8,'Central'!G8,'External'!G8)</x:f>
        <x:v>36</x:v>
      </x:c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</x:row>
    <x:row r="9" ht="34" customHeight="1">
      <x:c r="A9" s="11" t="str">
        <x:v>B-005</x:v>
      </x:c>
      <x:c r="B9" s="11" t="str">
        <x:v>SN74AXC8T245PWR</x:v>
      </x:c>
      <x:c r="C9" s="11" t="n">
        <x:f>'Upper'!E9</x:f>
        <x:v>4</x:v>
      </x:c>
      <x:c r="D9" s="11" t="n">
        <x:f>'Lower'!E9</x:f>
        <x:v>4</x:v>
      </x:c>
      <x:c r="E9" s="11" t="n">
        <x:f>'Central'!E9</x:f>
        <x:v>2</x:v>
      </x:c>
      <x:c r="F9" s="11" t="n">
        <x:f>'External'!E9</x:f>
        <x:v>0</x:v>
      </x:c>
      <x:c r="G9" s="11" t="n">
        <x:f>SUM(C9:F9)</x:f>
        <x:v>10</x:v>
      </x:c>
      <x:c r="H9" s="11" t="n">
        <x:f>SUM('Upper'!G9,'Lower'!G9,'Central'!G9,'External'!G9)</x:f>
        <x:v>13</x:v>
      </x:c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</x:row>
    <x:row r="10" ht="34" customHeight="1">
      <x:c r="A10" s="11" t="str">
        <x:v>B-006</x:v>
      </x:c>
      <x:c r="B10" s="11" t="str">
        <x:v>SN74LVC244APWR</x:v>
      </x:c>
      <x:c r="C10" s="11" t="n">
        <x:f>'Upper'!E10</x:f>
        <x:v>1</x:v>
      </x:c>
      <x:c r="D10" s="11" t="n">
        <x:f>'Lower'!E10</x:f>
        <x:v>1</x:v>
      </x:c>
      <x:c r="E10" s="11" t="n">
        <x:f>'Central'!E10</x:f>
        <x:v>0</x:v>
      </x:c>
      <x:c r="F10" s="11" t="n">
        <x:f>'External'!E10</x:f>
        <x:v>0</x:v>
      </x:c>
      <x:c r="G10" s="11" t="n">
        <x:f>SUM(C10:F10)</x:f>
        <x:v>2</x:v>
      </x:c>
      <x:c r="H10" s="11" t="n">
        <x:f>SUM('Upper'!G10,'Lower'!G10,'Central'!G10,'External'!G10)</x:f>
        <x:v>4</x:v>
      </x:c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</x:row>
    <x:row r="11" ht="34" customHeight="1">
      <x:c r="A11" s="11" t="str">
        <x:v>B-007</x:v>
      </x:c>
      <x:c r="B11" s="11" t="str">
        <x:v>SN74LVC1G32DBVR</x:v>
      </x:c>
      <x:c r="C11" s="11" t="n">
        <x:f>'Upper'!E11</x:f>
        <x:v>1</x:v>
      </x:c>
      <x:c r="D11" s="11" t="n">
        <x:f>'Lower'!E11</x:f>
        <x:v>1</x:v>
      </x:c>
      <x:c r="E11" s="11" t="n">
        <x:f>'Central'!E11</x:f>
        <x:v>0</x:v>
      </x:c>
      <x:c r="F11" s="11" t="n">
        <x:f>'External'!E11</x:f>
        <x:v>0</x:v>
      </x:c>
      <x:c r="G11" s="11" t="n">
        <x:f>SUM(C11:F11)</x:f>
        <x:v>2</x:v>
      </x:c>
      <x:c r="H11" s="11" t="n">
        <x:f>SUM('Upper'!G11,'Lower'!G11,'Central'!G11,'External'!G11)</x:f>
        <x:v>4</x:v>
      </x:c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</x:row>
    <x:row r="12" ht="34" customHeight="1">
      <x:c r="A12" s="11" t="str">
        <x:v>B-008</x:v>
      </x:c>
      <x:c r="B12" s="11" t="str">
        <x:v>TLV803 / TPS3839 类（需定料）</x:v>
      </x:c>
      <x:c r="C12" s="11" t="n">
        <x:f>'Upper'!E12</x:f>
        <x:v>1</x:v>
      </x:c>
      <x:c r="D12" s="11" t="n">
        <x:f>'Lower'!E12</x:f>
        <x:v>1</x:v>
      </x:c>
      <x:c r="E12" s="11" t="n">
        <x:f>'Central'!E12</x:f>
        <x:v>0</x:v>
      </x:c>
      <x:c r="F12" s="11" t="n">
        <x:f>'External'!E12</x:f>
        <x:v>0</x:v>
      </x:c>
      <x:c r="G12" s="11" t="n">
        <x:f>SUM(C12:F12)</x:f>
        <x:v>2</x:v>
      </x:c>
      <x:c r="H12" s="11" t="n">
        <x:f>SUM('Upper'!G12,'Lower'!G12,'Central'!G12,'External'!G12)</x:f>
        <x:v>4</x:v>
      </x:c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</x:row>
    <x:row r="13" ht="34" customHeight="1">
      <x:c r="A13" s="11" t="str">
        <x:v>B-009</x:v>
      </x:c>
      <x:c r="B13" s="11" t="str">
        <x:v>TPS3430 类（需定料）</x:v>
      </x:c>
      <x:c r="C13" s="11" t="n">
        <x:f>'Upper'!E13</x:f>
        <x:v>1</x:v>
      </x:c>
      <x:c r="D13" s="11" t="n">
        <x:f>'Lower'!E13</x:f>
        <x:v>1</x:v>
      </x:c>
      <x:c r="E13" s="11" t="n">
        <x:f>'Central'!E13</x:f>
        <x:v>0</x:v>
      </x:c>
      <x:c r="F13" s="11" t="n">
        <x:f>'External'!E13</x:f>
        <x:v>0</x:v>
      </x:c>
      <x:c r="G13" s="11" t="n">
        <x:f>SUM(C13:F13)</x:f>
        <x:v>2</x:v>
      </x:c>
      <x:c r="H13" s="11" t="n">
        <x:f>SUM('Upper'!G13,'Lower'!G13,'Central'!G13,'External'!G13)</x:f>
        <x:v>4</x:v>
      </x:c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</x:row>
    <x:row r="14" ht="34" customHeight="1">
      <x:c r="A14" s="11" t="str">
        <x:v>B-010</x:v>
      </x:c>
      <x:c r="B14" s="11" t="str">
        <x:v>TMUX1574PWR</x:v>
      </x:c>
      <x:c r="C14" s="11" t="n">
        <x:f>'Upper'!E14</x:f>
        <x:v>1</x:v>
      </x:c>
      <x:c r="D14" s="11" t="n">
        <x:f>'Lower'!E14</x:f>
        <x:v>1</x:v>
      </x:c>
      <x:c r="E14" s="11" t="n">
        <x:f>'Central'!E14</x:f>
        <x:v>0</x:v>
      </x:c>
      <x:c r="F14" s="11" t="n">
        <x:f>'External'!E14</x:f>
        <x:v>0</x:v>
      </x:c>
      <x:c r="G14" s="11" t="n">
        <x:f>SUM(C14:F14)</x:f>
        <x:v>2</x:v>
      </x:c>
      <x:c r="H14" s="11" t="n">
        <x:f>SUM('Upper'!G14,'Lower'!G14,'Central'!G14,'External'!G14)</x:f>
        <x:v>4</x:v>
      </x:c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</x:row>
    <x:row r="15" ht="34" customHeight="1">
      <x:c r="A15" s="11" t="str">
        <x:v>B-011</x:v>
      </x:c>
      <x:c r="B15" s="11" t="str">
        <x:v>OPA4192IPWR</x:v>
      </x:c>
      <x:c r="C15" s="11" t="n">
        <x:f>'Upper'!E15</x:f>
        <x:v>2</x:v>
      </x:c>
      <x:c r="D15" s="11" t="n">
        <x:f>'Lower'!E15</x:f>
        <x:v>2</x:v>
      </x:c>
      <x:c r="E15" s="11" t="n">
        <x:f>'Central'!E15</x:f>
        <x:v>0</x:v>
      </x:c>
      <x:c r="F15" s="11" t="n">
        <x:f>'External'!E15</x:f>
        <x:v>0</x:v>
      </x:c>
      <x:c r="G15" s="11" t="n">
        <x:f>SUM(C15:F15)</x:f>
        <x:v>4</x:v>
      </x:c>
      <x:c r="H15" s="11" t="n">
        <x:f>SUM('Upper'!G15,'Lower'!G15,'Central'!G15,'External'!G15)</x:f>
        <x:v>6</x:v>
      </x:c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</x:row>
    <x:row r="16" ht="34" customHeight="1">
      <x:c r="A16" s="11" t="str">
        <x:v>B-012</x:v>
      </x:c>
      <x:c r="B16" s="11" t="str">
        <x:v>REF5025AIDR</x:v>
      </x:c>
      <x:c r="C16" s="11" t="n">
        <x:f>'Upper'!E16</x:f>
        <x:v>1</x:v>
      </x:c>
      <x:c r="D16" s="11" t="n">
        <x:f>'Lower'!E16</x:f>
        <x:v>1</x:v>
      </x:c>
      <x:c r="E16" s="11" t="n">
        <x:f>'Central'!E16</x:f>
        <x:v>0</x:v>
      </x:c>
      <x:c r="F16" s="11" t="n">
        <x:f>'External'!E16</x:f>
        <x:v>0</x:v>
      </x:c>
      <x:c r="G16" s="11" t="n">
        <x:f>SUM(C16:F16)</x:f>
        <x:v>2</x:v>
      </x:c>
      <x:c r="H16" s="11" t="n">
        <x:f>SUM('Upper'!G16,'Lower'!G16,'Central'!G16,'External'!G16)</x:f>
        <x:v>4</x:v>
      </x:c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</x:row>
    <x:row r="17" ht="34" customHeight="1">
      <x:c r="A17" s="11" t="str">
        <x:v>B-013</x:v>
      </x:c>
      <x:c r="B17" s="11" t="str">
        <x:v>BAT54S</x:v>
      </x:c>
      <x:c r="C17" s="11" t="n">
        <x:f>'Upper'!E17</x:f>
        <x:v>4</x:v>
      </x:c>
      <x:c r="D17" s="11" t="n">
        <x:f>'Lower'!E17</x:f>
        <x:v>4</x:v>
      </x:c>
      <x:c r="E17" s="11" t="n">
        <x:f>'Central'!E17</x:f>
        <x:v>0</x:v>
      </x:c>
      <x:c r="F17" s="11" t="n">
        <x:f>'External'!E17</x:f>
        <x:v>0</x:v>
      </x:c>
      <x:c r="G17" s="11" t="n">
        <x:f>SUM(C17:F17)</x:f>
        <x:v>8</x:v>
      </x:c>
      <x:c r="H17" s="11" t="n">
        <x:f>SUM('Upper'!G17,'Lower'!G17,'Central'!G17,'External'!G17)</x:f>
        <x:v>10</x:v>
      </x:c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</x:row>
    <x:row r="18" ht="34" customHeight="1">
      <x:c r="A18" s="11" t="str">
        <x:v>B-014</x:v>
      </x:c>
      <x:c r="B18" s="11" t="str">
        <x:v>AD7606C-16BSTZ-RL</x:v>
      </x:c>
      <x:c r="C18" s="11" t="n">
        <x:f>'Upper'!E18</x:f>
        <x:v>0</x:v>
      </x:c>
      <x:c r="D18" s="11" t="n">
        <x:f>'Lower'!E18</x:f>
        <x:v>0</x:v>
      </x:c>
      <x:c r="E18" s="11" t="n">
        <x:f>'Central'!E18</x:f>
        <x:v>1</x:v>
      </x:c>
      <x:c r="F18" s="11" t="n">
        <x:f>'External'!E18</x:f>
        <x:v>0</x:v>
      </x:c>
      <x:c r="G18" s="11" t="n">
        <x:f>SUM(C18:F18)</x:f>
        <x:v>1</x:v>
      </x:c>
      <x:c r="H18" s="11" t="n">
        <x:f>SUM('Upper'!G18,'Lower'!G18,'Central'!G18,'External'!G18)</x:f>
        <x:v>2</x:v>
      </x:c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</x:row>
    <x:row r="19" ht="34" customHeight="1">
      <x:c r="A19" s="11" t="str">
        <x:v>B-015</x:v>
      </x:c>
      <x:c r="B19" s="11" t="str">
        <x:v>47Ω+1nF C0G 组合</x:v>
      </x:c>
      <x:c r="C19" s="11" t="n">
        <x:f>'Upper'!E19</x:f>
        <x:v>0</x:v>
      </x:c>
      <x:c r="D19" s="11" t="n">
        <x:f>'Lower'!E19</x:f>
        <x:v>0</x:v>
      </x:c>
      <x:c r="E19" s="11" t="n">
        <x:f>'Central'!E19</x:f>
        <x:v>0</x:v>
      </x:c>
      <x:c r="F19" s="11" t="n">
        <x:f>'External'!E19</x:f>
        <x:v>0</x:v>
      </x:c>
      <x:c r="G19" s="11" t="n">
        <x:f>SUM(C19:F19)</x:f>
        <x:v>0</x:v>
      </x:c>
      <x:c r="H19" s="11" t="n">
        <x:f>SUM('Upper'!G19,'Lower'!G19,'Central'!G19,'External'!G19)</x:f>
        <x:v>0</x:v>
      </x:c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</x:row>
    <x:row r="20" ht="34" customHeight="1">
      <x:c r="A20" s="11" t="str">
        <x:v>B-016</x:v>
      </x:c>
      <x:c r="B20" s="11" t="str">
        <x:v>AD7606C16_REFERENCE_DECOUPLING_ALLOCATION</x:v>
      </x:c>
      <x:c r="C20" s="11" t="n">
        <x:f>'Upper'!E20</x:f>
        <x:v>0</x:v>
      </x:c>
      <x:c r="D20" s="11" t="n">
        <x:f>'Lower'!E20</x:f>
        <x:v>0</x:v>
      </x:c>
      <x:c r="E20" s="11" t="n">
        <x:f>'Central'!E20</x:f>
        <x:v>0</x:v>
      </x:c>
      <x:c r="F20" s="11" t="n">
        <x:f>'External'!E20</x:f>
        <x:v>0</x:v>
      </x:c>
      <x:c r="G20" s="11" t="n">
        <x:f>SUM(C20:F20)</x:f>
        <x:v>0</x:v>
      </x:c>
      <x:c r="H20" s="11" t="n">
        <x:f>SUM('Upper'!G20,'Lower'!G20,'Central'!G20,'External'!G20)</x:f>
        <x:v>0</x:v>
      </x:c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</x:row>
    <x:row r="21" ht="34" customHeight="1">
      <x:c r="A21" s="11" t="str">
        <x:v>B-017</x:v>
      </x:c>
      <x:c r="B21" s="11" t="str">
        <x:v>SHT45-AD1B-R2</x:v>
      </x:c>
      <x:c r="C21" s="11" t="n">
        <x:f>'Upper'!E21</x:f>
        <x:v>0</x:v>
      </x:c>
      <x:c r="D21" s="11" t="n">
        <x:f>'Lower'!E21</x:f>
        <x:v>0</x:v>
      </x:c>
      <x:c r="E21" s="11" t="n">
        <x:f>'Central'!E21</x:f>
        <x:v>0</x:v>
      </x:c>
      <x:c r="F21" s="11" t="n">
        <x:f>'External'!E21</x:f>
        <x:v>0</x:v>
      </x:c>
      <x:c r="G21" s="11" t="n">
        <x:f>SUM(C21:F21)</x:f>
        <x:v>0</x:v>
      </x:c>
      <x:c r="H21" s="11" t="n">
        <x:f>SUM('Upper'!G21,'Lower'!G21,'Central'!G21,'External'!G21)</x:f>
        <x:v>0</x:v>
      </x:c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</x:row>
    <x:row r="22" ht="34" customHeight="1">
      <x:c r="A22" s="11" t="str">
        <x:v>B-018</x:v>
      </x:c>
      <x:c r="B22" s="11" t="str">
        <x:v>XT30PW-M30.G.Y</x:v>
      </x:c>
      <x:c r="C22" s="11" t="n">
        <x:f>'Upper'!E22</x:f>
        <x:v>0</x:v>
      </x:c>
      <x:c r="D22" s="11" t="n">
        <x:f>'Lower'!E22</x:f>
        <x:v>0</x:v>
      </x:c>
      <x:c r="E22" s="11" t="n">
        <x:f>'Central'!E22</x:f>
        <x:v>0</x:v>
      </x:c>
      <x:c r="F22" s="11" t="n">
        <x:f>'External'!E22</x:f>
        <x:v>0</x:v>
      </x:c>
      <x:c r="G22" s="11" t="n">
        <x:f>SUM(C22:F22)</x:f>
        <x:v>0</x:v>
      </x:c>
      <x:c r="H22" s="11" t="n">
        <x:f>SUM('Upper'!G22,'Lower'!G22,'Central'!G22,'External'!G22)</x:f>
        <x:v>0</x:v>
      </x:c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</x:row>
    <x:row r="23" ht="34" customHeight="1">
      <x:c r="A23" s="11" t="str">
        <x:v>B-019</x:v>
      </x:c>
      <x:c r="B23" s="11" t="str">
        <x:v>XT30PW-M30.G.Y</x:v>
      </x:c>
      <x:c r="C23" s="11" t="n">
        <x:f>'Upper'!E23</x:f>
        <x:v>0</x:v>
      </x:c>
      <x:c r="D23" s="11" t="n">
        <x:f>'Lower'!E23</x:f>
        <x:v>0</x:v>
      </x:c>
      <x:c r="E23" s="11" t="n">
        <x:f>'Central'!E23</x:f>
        <x:v>0</x:v>
      </x:c>
      <x:c r="F23" s="11" t="n">
        <x:f>'External'!E23</x:f>
        <x:v>0</x:v>
      </x:c>
      <x:c r="G23" s="11" t="n">
        <x:f>SUM(C23:F23)</x:f>
        <x:v>0</x:v>
      </x:c>
      <x:c r="H23" s="11" t="n">
        <x:f>SUM('Upper'!G23,'Lower'!G23,'Central'!G23,'External'!G23)</x:f>
        <x:v>0</x:v>
      </x:c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</x:row>
    <x:row r="24" ht="34" customHeight="1">
      <x:c r="A24" s="11" t="str">
        <x:v>B-020</x:v>
      </x:c>
      <x:c r="B24" s="11" t="str">
        <x:v>TPS259470LRPWR</x:v>
      </x:c>
      <x:c r="C24" s="11" t="n">
        <x:f>'Upper'!E24</x:f>
        <x:v>0</x:v>
      </x:c>
      <x:c r="D24" s="11" t="n">
        <x:f>'Lower'!E24</x:f>
        <x:v>0</x:v>
      </x:c>
      <x:c r="E24" s="11" t="n">
        <x:f>'Central'!E24</x:f>
        <x:v>0</x:v>
      </x:c>
      <x:c r="F24" s="11" t="n">
        <x:f>'External'!E24</x:f>
        <x:v>0</x:v>
      </x:c>
      <x:c r="G24" s="11" t="n">
        <x:f>SUM(C24:F24)</x:f>
        <x:v>0</x:v>
      </x:c>
      <x:c r="H24" s="11" t="n">
        <x:f>SUM('Upper'!G24,'Lower'!G24,'Central'!G24,'External'!G24)</x:f>
        <x:v>0</x:v>
      </x:c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</x:row>
    <x:row r="25" ht="34" customHeight="1">
      <x:c r="A25" s="11" t="str">
        <x:v>B-021</x:v>
      </x:c>
      <x:c r="B25" s="11" t="str">
        <x:v>INA226AIDGSR</x:v>
      </x:c>
      <x:c r="C25" s="11" t="n">
        <x:f>'Upper'!E25</x:f>
        <x:v>1</x:v>
      </x:c>
      <x:c r="D25" s="11" t="n">
        <x:f>'Lower'!E25</x:f>
        <x:v>1</x:v>
      </x:c>
      <x:c r="E25" s="11" t="n">
        <x:f>'Central'!E25</x:f>
        <x:v>1</x:v>
      </x:c>
      <x:c r="F25" s="11" t="n">
        <x:f>'External'!E25</x:f>
        <x:v>0</x:v>
      </x:c>
      <x:c r="G25" s="11" t="n">
        <x:f>SUM(C25:F25)</x:f>
        <x:v>3</x:v>
      </x:c>
      <x:c r="H25" s="11" t="n">
        <x:f>SUM('Upper'!G25,'Lower'!G25,'Central'!G25,'External'!G25)</x:f>
        <x:v>6</x:v>
      </x:c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</x:row>
    <x:row r="26" ht="34" customHeight="1">
      <x:c r="A26" s="11" t="str">
        <x:v>B-022</x:v>
      </x:c>
      <x:c r="B26" s="11" t="str">
        <x:v>20mΩ 2512 1% 2W</x:v>
      </x:c>
      <x:c r="C26" s="11" t="n">
        <x:f>'Upper'!E26</x:f>
        <x:v>1</x:v>
      </x:c>
      <x:c r="D26" s="11" t="n">
        <x:f>'Lower'!E26</x:f>
        <x:v>1</x:v>
      </x:c>
      <x:c r="E26" s="11" t="n">
        <x:f>'Central'!E26</x:f>
        <x:v>1</x:v>
      </x:c>
      <x:c r="F26" s="11" t="n">
        <x:f>'External'!E26</x:f>
        <x:v>0</x:v>
      </x:c>
      <x:c r="G26" s="11" t="n">
        <x:f>SUM(C26:F26)</x:f>
        <x:v>3</x:v>
      </x:c>
      <x:c r="H26" s="11" t="n">
        <x:f>SUM('Upper'!G26,'Lower'!G26,'Central'!G26,'External'!G26)</x:f>
        <x:v>6</x:v>
      </x:c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</x:row>
    <x:row r="27" ht="34" customHeight="1">
      <x:c r="A27" s="11" t="str">
        <x:v>B-023</x:v>
      </x:c>
      <x:c r="B27" s="11" t="str">
        <x:v>SMBJ20A 类</x:v>
      </x:c>
      <x:c r="C27" s="11" t="n">
        <x:f>'Upper'!E27</x:f>
        <x:v>0</x:v>
      </x:c>
      <x:c r="D27" s="11" t="n">
        <x:f>'Lower'!E27</x:f>
        <x:v>0</x:v>
      </x:c>
      <x:c r="E27" s="11" t="n">
        <x:f>'Central'!E27</x:f>
        <x:v>0</x:v>
      </x:c>
      <x:c r="F27" s="11" t="n">
        <x:f>'External'!E27</x:f>
        <x:v>0</x:v>
      </x:c>
      <x:c r="G27" s="11" t="n">
        <x:f>SUM(C27:F27)</x:f>
        <x:v>0</x:v>
      </x:c>
      <x:c r="H27" s="11" t="n">
        <x:f>SUM('Upper'!G27,'Lower'!G27,'Central'!G27,'External'!G27)</x:f>
        <x:v>0</x:v>
      </x:c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</x:row>
    <x:row r="28" ht="34" customHeight="1">
      <x:c r="A28" s="11" t="str">
        <x:v>B-024</x:v>
      </x:c>
      <x:c r="B28" s="11" t="str">
        <x:v>2A 慢断候选，具体值TBD</x:v>
      </x:c>
      <x:c r="C28" s="11" t="n">
        <x:f>'Upper'!E28</x:f>
        <x:v>0</x:v>
      </x:c>
      <x:c r="D28" s="11" t="n">
        <x:f>'Lower'!E28</x:f>
        <x:v>0</x:v>
      </x:c>
      <x:c r="E28" s="11" t="n">
        <x:f>'Central'!E28</x:f>
        <x:v>0</x:v>
      </x:c>
      <x:c r="F28" s="11" t="n">
        <x:f>'External'!E28</x:f>
        <x:v>0</x:v>
      </x:c>
      <x:c r="G28" s="11" t="n">
        <x:f>SUM(C28:F28)</x:f>
        <x:v>0</x:v>
      </x:c>
      <x:c r="H28" s="11" t="n">
        <x:f>SUM('Upper'!G28,'Lower'!G28,'Central'!G28,'External'!G28)</x:f>
        <x:v>0</x:v>
      </x:c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</x:row>
    <x:row r="29" ht="34" customHeight="1">
      <x:c r="A29" s="11" t="str">
        <x:v>B-025</x:v>
      </x:c>
      <x:c r="B29" s="11" t="str">
        <x:v>E-STOP接口 + NC触点/继电开关待定</x:v>
      </x:c>
      <x:c r="C29" s="11" t="n">
        <x:f>'Upper'!E29</x:f>
        <x:v>1</x:v>
      </x:c>
      <x:c r="D29" s="11" t="n">
        <x:f>'Lower'!E29</x:f>
        <x:v>1</x:v>
      </x:c>
      <x:c r="E29" s="11" t="n">
        <x:f>'Central'!E29</x:f>
        <x:v>0</x:v>
      </x:c>
      <x:c r="F29" s="11" t="n">
        <x:f>'External'!E29</x:f>
        <x:v>0</x:v>
      </x:c>
      <x:c r="G29" s="11" t="n">
        <x:f>SUM(C29:F29)</x:f>
        <x:v>2</x:v>
      </x:c>
      <x:c r="H29" s="11" t="n">
        <x:f>SUM('Upper'!G29,'Lower'!G29,'Central'!G29,'External'!G29)</x:f>
        <x:v>4</x:v>
      </x:c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</x:row>
    <x:row r="30" ht="34" customHeight="1">
      <x:c r="A30" s="11" t="str">
        <x:v>B-026</x:v>
      </x:c>
      <x:c r="B30" s="11" t="str">
        <x:v>开漏/拉升/隔离网络 TBD</x:v>
      </x:c>
      <x:c r="C30" s="11" t="n">
        <x:f>'Upper'!E30</x:f>
        <x:v>1</x:v>
      </x:c>
      <x:c r="D30" s="11" t="n">
        <x:f>'Lower'!E30</x:f>
        <x:v>1</x:v>
      </x:c>
      <x:c r="E30" s="11" t="n">
        <x:f>'Central'!E30</x:f>
        <x:v>0</x:v>
      </x:c>
      <x:c r="F30" s="11" t="n">
        <x:f>'External'!E30</x:f>
        <x:v>0</x:v>
      </x:c>
      <x:c r="G30" s="11" t="n">
        <x:f>SUM(C30:F30)</x:f>
        <x:v>2</x:v>
      </x:c>
      <x:c r="H30" s="11" t="n">
        <x:f>SUM('Upper'!G30,'Lower'!G30,'Central'!G30,'External'!G30)</x:f>
        <x:v>4</x:v>
      </x:c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</x:row>
    <x:row r="31" ht="34" customHeight="1">
      <x:c r="A31" s="11" t="str">
        <x:v>B-027</x:v>
      </x:c>
      <x:c r="B31" s="11" t="str">
        <x:v>TPS54202DDCR</x:v>
      </x:c>
      <x:c r="C31" s="11" t="n">
        <x:f>'Upper'!E31</x:f>
        <x:v>1</x:v>
      </x:c>
      <x:c r="D31" s="11" t="n">
        <x:f>'Lower'!E31</x:f>
        <x:v>1</x:v>
      </x:c>
      <x:c r="E31" s="11" t="n">
        <x:f>'Central'!E31</x:f>
        <x:v>0</x:v>
      </x:c>
      <x:c r="F31" s="11" t="n">
        <x:f>'External'!E31</x:f>
        <x:v>0</x:v>
      </x:c>
      <x:c r="G31" s="11" t="n">
        <x:f>SUM(C31:F31)</x:f>
        <x:v>2</x:v>
      </x:c>
      <x:c r="H31" s="11" t="n">
        <x:f>SUM('Upper'!G31,'Lower'!G31,'Central'!G31,'External'!G31)</x:f>
        <x:v>4</x:v>
      </x:c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</x:row>
    <x:row r="32" ht="34" customHeight="1">
      <x:c r="A32" s="11" t="str">
        <x:v>B-028</x:v>
      </x:c>
      <x:c r="B32" s="11" t="str">
        <x:v>TPS54202DDCR</x:v>
      </x:c>
      <x:c r="C32" s="11" t="n">
        <x:f>'Upper'!E32</x:f>
        <x:v>1</x:v>
      </x:c>
      <x:c r="D32" s="11" t="n">
        <x:f>'Lower'!E32</x:f>
        <x:v>1</x:v>
      </x:c>
      <x:c r="E32" s="11" t="n">
        <x:f>'Central'!E32</x:f>
        <x:v>0</x:v>
      </x:c>
      <x:c r="F32" s="11" t="n">
        <x:f>'External'!E32</x:f>
        <x:v>0</x:v>
      </x:c>
      <x:c r="G32" s="11" t="n">
        <x:f>SUM(C32:F32)</x:f>
        <x:v>2</x:v>
      </x:c>
      <x:c r="H32" s="11" t="n">
        <x:f>SUM('Upper'!G32,'Lower'!G32,'Central'!G32,'External'!G32)</x:f>
        <x:v>4</x:v>
      </x:c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</x:row>
    <x:row r="33" ht="34" customHeight="1">
      <x:c r="A33" s="11" t="str">
        <x:v>B-029</x:v>
      </x:c>
      <x:c r="B33" s="11" t="str">
        <x:v>ADP7118ACPZN5.0-R7</x:v>
      </x:c>
      <x:c r="C33" s="11" t="n">
        <x:f>'Upper'!E33</x:f>
        <x:v>1</x:v>
      </x:c>
      <x:c r="D33" s="11" t="n">
        <x:f>'Lower'!E33</x:f>
        <x:v>1</x:v>
      </x:c>
      <x:c r="E33" s="11" t="n">
        <x:f>'Central'!E33</x:f>
        <x:v>0</x:v>
      </x:c>
      <x:c r="F33" s="11" t="n">
        <x:f>'External'!E33</x:f>
        <x:v>0</x:v>
      </x:c>
      <x:c r="G33" s="11" t="n">
        <x:f>SUM(C33:F33)</x:f>
        <x:v>2</x:v>
      </x:c>
      <x:c r="H33" s="11" t="n">
        <x:f>SUM('Upper'!G33,'Lower'!G33,'Central'!G33,'External'!G33)</x:f>
        <x:v>4</x:v>
      </x:c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</x:row>
    <x:row r="34" ht="34" customHeight="1">
      <x:c r="A34" s="11" t="str">
        <x:v>B-030</x:v>
      </x:c>
      <x:c r="B34" s="11" t="str">
        <x:v>6.8µH ≥5A 候选</x:v>
      </x:c>
      <x:c r="C34" s="11" t="n">
        <x:f>'Upper'!E34</x:f>
        <x:v>2</x:v>
      </x:c>
      <x:c r="D34" s="11" t="n">
        <x:f>'Lower'!E34</x:f>
        <x:v>2</x:v>
      </x:c>
      <x:c r="E34" s="11" t="n">
        <x:f>'Central'!E34</x:f>
        <x:v>0</x:v>
      </x:c>
      <x:c r="F34" s="11" t="n">
        <x:f>'External'!E34</x:f>
        <x:v>0</x:v>
      </x:c>
      <x:c r="G34" s="11" t="n">
        <x:f>SUM(C34:F34)</x:f>
        <x:v>4</x:v>
      </x:c>
      <x:c r="H34" s="11" t="n">
        <x:f>SUM('Upper'!G34,'Lower'!G34,'Central'!G34,'External'!G34)</x:f>
        <x:v>6</x:v>
      </x:c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9"/>
    </x:row>
    <x:row r="35" ht="34" customHeight="1">
      <x:c r="A35" s="11" t="str">
        <x:v>B-031</x:v>
      </x:c>
      <x:c r="B35" s="11" t="str">
        <x:v>BLM21PG221SN1D</x:v>
      </x:c>
      <x:c r="C35" s="11" t="n">
        <x:f>'Upper'!E35</x:f>
        <x:v>1</x:v>
      </x:c>
      <x:c r="D35" s="11" t="n">
        <x:f>'Lower'!E35</x:f>
        <x:v>1</x:v>
      </x:c>
      <x:c r="E35" s="11" t="n">
        <x:f>'Central'!E35</x:f>
        <x:v>1</x:v>
      </x:c>
      <x:c r="F35" s="11" t="n">
        <x:f>'External'!E35</x:f>
        <x:v>0</x:v>
      </x:c>
      <x:c r="G35" s="11" t="n">
        <x:f>SUM(C35:F35)</x:f>
        <x:v>3</x:v>
      </x:c>
      <x:c r="H35" s="11" t="n">
        <x:f>SUM('Upper'!G35,'Lower'!G35,'Central'!G35,'External'!G35)</x:f>
        <x:v>6</x:v>
      </x:c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</x:row>
    <x:row r="36" ht="34" customHeight="1">
      <x:c r="A36" s="11" t="str">
        <x:v>B-032</x:v>
      </x:c>
      <x:c r="B36" s="11" t="str">
        <x:v>TMP117AIDRVR</x:v>
      </x:c>
      <x:c r="C36" s="11" t="n">
        <x:f>'Upper'!E36</x:f>
        <x:v>1</x:v>
      </x:c>
      <x:c r="D36" s="11" t="n">
        <x:f>'Lower'!E36</x:f>
        <x:v>1</x:v>
      </x:c>
      <x:c r="E36" s="11" t="n">
        <x:f>'Central'!E36</x:f>
        <x:v>1</x:v>
      </x:c>
      <x:c r="F36" s="11" t="n">
        <x:f>'External'!E36</x:f>
        <x:v>0</x:v>
      </x:c>
      <x:c r="G36" s="11" t="n">
        <x:f>SUM(C36:F36)</x:f>
        <x:v>3</x:v>
      </x:c>
      <x:c r="H36" s="11" t="n">
        <x:f>SUM('Upper'!G36,'Lower'!G36,'Central'!G36,'External'!G36)</x:f>
        <x:v>6</x:v>
      </x:c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</x:row>
    <x:row r="37" ht="34" customHeight="1">
      <x:c r="A37" s="11" t="str">
        <x:v>B-033</x:v>
      </x:c>
      <x:c r="B37" s="11" t="str">
        <x:v>2×20 2.54mm 对应插座/转接线（按实板决定）</x:v>
      </x:c>
      <x:c r="C37" s="11" t="n">
        <x:f>'Upper'!E37</x:f>
        <x:v>0</x:v>
      </x:c>
      <x:c r="D37" s="11" t="n">
        <x:f>'Lower'!E37</x:f>
        <x:v>0</x:v>
      </x:c>
      <x:c r="E37" s="11" t="n">
        <x:f>'Central'!E37</x:f>
        <x:v>2</x:v>
      </x:c>
      <x:c r="F37" s="11" t="n">
        <x:f>'External'!E37</x:f>
        <x:v>0</x:v>
      </x:c>
      <x:c r="G37" s="11" t="n">
        <x:f>SUM(C37:F37)</x:f>
        <x:v>2</x:v>
      </x:c>
      <x:c r="H37" s="11" t="n">
        <x:f>SUM('Upper'!G37,'Lower'!G37,'Central'!G37,'External'!G37)</x:f>
        <x:v>3</x:v>
      </x:c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</x:row>
    <x:row r="38" ht="34" customHeight="1">
      <x:c r="A38" s="11" t="str">
        <x:v>B-034</x:v>
      </x:c>
      <x:c r="B38" s="11" t="str">
        <x:v>2×25 IDC防呆（候选）</x:v>
      </x:c>
      <x:c r="C38" s="11" t="n">
        <x:f>'Upper'!E38</x:f>
        <x:v>1</x:v>
      </x:c>
      <x:c r="D38" s="11" t="n">
        <x:f>'Lower'!E38</x:f>
        <x:v>1</x:v>
      </x:c>
      <x:c r="E38" s="11" t="n">
        <x:f>'Central'!E38</x:f>
        <x:v>0</x:v>
      </x:c>
      <x:c r="F38" s="11" t="n">
        <x:f>'External'!E38</x:f>
        <x:v>0</x:v>
      </x:c>
      <x:c r="G38" s="11" t="n">
        <x:f>SUM(C38:F38)</x:f>
        <x:v>2</x:v>
      </x:c>
      <x:c r="H38" s="11" t="n">
        <x:f>SUM('Upper'!G38,'Lower'!G38,'Central'!G38,'External'!G38)</x:f>
        <x:v>4</x:v>
      </x:c>
      <x:c r="I38" s="9"/>
      <x:c r="J38" s="9"/>
      <x:c r="K38" s="9"/>
      <x:c r="L38" s="9"/>
      <x:c r="M38" s="9"/>
      <x:c r="N38" s="9"/>
      <x:c r="O38" s="9"/>
      <x:c r="P38" s="9"/>
      <x:c r="Q38" s="9"/>
      <x:c r="R38" s="9"/>
      <x:c r="S38" s="9"/>
      <x:c r="T38" s="9"/>
      <x:c r="U38" s="9"/>
      <x:c r="V38" s="9"/>
    </x:row>
    <x:row r="39" ht="34" customHeight="1">
      <x:c r="A39" s="11" t="str">
        <x:v>B-035</x:v>
      </x:c>
      <x:c r="B39" s="11" t="str">
        <x:v>2×25 IDC防呆（候选）</x:v>
      </x:c>
      <x:c r="C39" s="11" t="n">
        <x:f>'Upper'!E39</x:f>
        <x:v>0</x:v>
      </x:c>
      <x:c r="D39" s="11" t="n">
        <x:f>'Lower'!E39</x:f>
        <x:v>0</x:v>
      </x:c>
      <x:c r="E39" s="11" t="n">
        <x:f>'Central'!E39</x:f>
        <x:v>2</x:v>
      </x:c>
      <x:c r="F39" s="11" t="n">
        <x:f>'External'!E39</x:f>
        <x:v>0</x:v>
      </x:c>
      <x:c r="G39" s="11" t="n">
        <x:f>SUM(C39:F39)</x:f>
        <x:v>2</x:v>
      </x:c>
      <x:c r="H39" s="11" t="n">
        <x:f>SUM('Upper'!G39,'Lower'!G39,'Central'!G39,'External'!G39)</x:f>
        <x:v>3</x:v>
      </x:c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</x:row>
    <x:row r="40" ht="34" customHeight="1">
      <x:c r="A40" s="11" t="str">
        <x:v>B-036</x:v>
      </x:c>
      <x:c r="B40" s="11" t="str">
        <x:v>不带变压器的被动8P8C/屏蔽连接器</x:v>
      </x:c>
      <x:c r="C40" s="11" t="n">
        <x:f>'Upper'!E40</x:f>
        <x:v>1</x:v>
      </x:c>
      <x:c r="D40" s="11" t="n">
        <x:f>'Lower'!E40</x:f>
        <x:v>1</x:v>
      </x:c>
      <x:c r="E40" s="11" t="n">
        <x:f>'Central'!E40</x:f>
        <x:v>2</x:v>
      </x:c>
      <x:c r="F40" s="11" t="n">
        <x:f>'External'!E40</x:f>
        <x:v>0</x:v>
      </x:c>
      <x:c r="G40" s="11" t="n">
        <x:f>SUM(C40:F40)</x:f>
        <x:v>4</x:v>
      </x:c>
      <x:c r="H40" s="11" t="n">
        <x:f>SUM('Upper'!G40,'Lower'!G40,'Central'!G40,'External'!G40)</x:f>
        <x:v>7</x:v>
      </x:c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</x:row>
    <x:row r="41" ht="34" customHeight="1">
      <x:c r="A41" s="11" t="str">
        <x:v>B-037</x:v>
      </x:c>
      <x:c r="B41" s="11" t="str">
        <x:v>JST XH 4P</x:v>
      </x:c>
      <x:c r="C41" s="11" t="n">
        <x:f>'Upper'!E41</x:f>
        <x:v>0</x:v>
      </x:c>
      <x:c r="D41" s="11" t="n">
        <x:f>'Lower'!E41</x:f>
        <x:v>0</x:v>
      </x:c>
      <x:c r="E41" s="11" t="n">
        <x:f>'Central'!E41</x:f>
        <x:v>1</x:v>
      </x:c>
      <x:c r="F41" s="11" t="n">
        <x:f>'External'!E41</x:f>
        <x:v>0</x:v>
      </x:c>
      <x:c r="G41" s="11" t="n">
        <x:f>SUM(C41:F41)</x:f>
        <x:v>1</x:v>
      </x:c>
      <x:c r="H41" s="11" t="n">
        <x:f>SUM('Upper'!G41,'Lower'!G41,'Central'!G41,'External'!G41)</x:f>
        <x:v>2</x:v>
      </x:c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</x:row>
    <x:row r="42" ht="34" customHeight="1">
      <x:c r="A42" s="11" t="str">
        <x:v>B-038</x:v>
      </x:c>
      <x:c r="B42" s="11" t="str">
        <x:v>JST XH 4P</x:v>
      </x:c>
      <x:c r="C42" s="11" t="n">
        <x:f>'Upper'!E42</x:f>
        <x:v>0</x:v>
      </x:c>
      <x:c r="D42" s="11" t="n">
        <x:f>'Lower'!E42</x:f>
        <x:v>0</x:v>
      </x:c>
      <x:c r="E42" s="11" t="n">
        <x:f>'Central'!E42</x:f>
        <x:v>0</x:v>
      </x:c>
      <x:c r="F42" s="11" t="n">
        <x:f>'External'!E42</x:f>
        <x:v>0</x:v>
      </x:c>
      <x:c r="G42" s="11" t="n">
        <x:f>SUM(C42:F42)</x:f>
        <x:v>0</x:v>
      </x:c>
      <x:c r="H42" s="11" t="n">
        <x:f>SUM('Upper'!G42,'Lower'!G42,'Central'!G42,'External'!G42)</x:f>
        <x:v>0</x:v>
      </x:c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9"/>
      <x:c r="U42" s="9"/>
      <x:c r="V42" s="9"/>
    </x:row>
    <x:row r="43" ht="34" customHeight="1">
      <x:c r="A43" s="11" t="str">
        <x:v>B-039</x:v>
      </x:c>
      <x:c r="B43" s="11" t="str">
        <x:v>DC5P5x2P5_CENTER_POSITIVE_LEAD_TBD</x:v>
      </x:c>
      <x:c r="C43" s="11" t="n">
        <x:f>'Upper'!E43</x:f>
        <x:v>0</x:v>
      </x:c>
      <x:c r="D43" s="11" t="n">
        <x:f>'Lower'!E43</x:f>
        <x:v>0</x:v>
      </x:c>
      <x:c r="E43" s="11" t="n">
        <x:f>'Central'!E43</x:f>
        <x:v>0</x:v>
      </x:c>
      <x:c r="F43" s="11" t="n">
        <x:f>'External'!E43</x:f>
        <x:v>2</x:v>
      </x:c>
      <x:c r="G43" s="11" t="n">
        <x:f>SUM(C43:F43)</x:f>
        <x:v>2</x:v>
      </x:c>
      <x:c r="H43" s="11" t="n">
        <x:f>SUM('Upper'!G43,'Lower'!G43,'Central'!G43,'External'!G43)</x:f>
        <x:v>3</x:v>
      </x:c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</x:row>
    <x:row r="44" ht="34" customHeight="1">
      <x:c r="A44" s="11" t="str">
        <x:v>B-040</x:v>
      </x:c>
      <x:c r="B44" s="11" t="str">
        <x:v>XT30 2P线束</x:v>
      </x:c>
      <x:c r="C44" s="11" t="n">
        <x:f>'Upper'!E44</x:f>
        <x:v>0</x:v>
      </x:c>
      <x:c r="D44" s="11" t="n">
        <x:f>'Lower'!E44</x:f>
        <x:v>0</x:v>
      </x:c>
      <x:c r="E44" s="11" t="n">
        <x:f>'Central'!E44</x:f>
        <x:v>0</x:v>
      </x:c>
      <x:c r="F44" s="11" t="n">
        <x:f>'External'!E44</x:f>
        <x:v>0</x:v>
      </x:c>
      <x:c r="G44" s="11" t="n">
        <x:f>SUM(C44:F44)</x:f>
        <x:v>0</x:v>
      </x:c>
      <x:c r="H44" s="11" t="n">
        <x:f>SUM('Upper'!G44,'Lower'!G44,'Central'!G44,'External'!G44)</x:f>
        <x:v>0</x:v>
      </x:c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</x:row>
    <x:row r="45" ht="34" customHeight="1">
      <x:c r="A45" s="11" t="str">
        <x:v>B-041</x:v>
      </x:c>
      <x:c r="B45" s="11" t="str">
        <x:v>50芯IDC定长≤20cm仅初选</x:v>
      </x:c>
      <x:c r="C45" s="11" t="n">
        <x:f>'Upper'!E45</x:f>
        <x:v>0</x:v>
      </x:c>
      <x:c r="D45" s="11" t="n">
        <x:f>'Lower'!E45</x:f>
        <x:v>0</x:v>
      </x:c>
      <x:c r="E45" s="11" t="n">
        <x:f>'Central'!E45</x:f>
        <x:v>0</x:v>
      </x:c>
      <x:c r="F45" s="11" t="n">
        <x:f>'External'!E45</x:f>
        <x:v>0</x:v>
      </x:c>
      <x:c r="G45" s="11" t="n">
        <x:f>SUM(C45:F45)</x:f>
        <x:v>0</x:v>
      </x:c>
      <x:c r="H45" s="11" t="n">
        <x:f>SUM('Upper'!G45,'Lower'!G45,'Central'!G45,'External'!G45)</x:f>
        <x:v>0</x:v>
      </x:c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</x:row>
    <x:row r="46" ht="34" customHeight="1">
      <x:c r="A46" s="11" t="str">
        <x:v>B-042</x:v>
      </x:c>
      <x:c r="B46" s="11" t="str">
        <x:v>屏蔽4对模拟线（独立专用）</x:v>
      </x:c>
      <x:c r="C46" s="11" t="n">
        <x:f>'Upper'!E46</x:f>
        <x:v>0</x:v>
      </x:c>
      <x:c r="D46" s="11" t="n">
        <x:f>'Lower'!E46</x:f>
        <x:v>0</x:v>
      </x:c>
      <x:c r="E46" s="11" t="n">
        <x:f>'Central'!E46</x:f>
        <x:v>0</x:v>
      </x:c>
      <x:c r="F46" s="11" t="n">
        <x:f>'External'!E46</x:f>
        <x:v>0</x:v>
      </x:c>
      <x:c r="G46" s="11" t="n">
        <x:f>SUM(C46:F46)</x:f>
        <x:v>0</x:v>
      </x:c>
      <x:c r="H46" s="11" t="n">
        <x:f>SUM('Upper'!G46,'Lower'!G46,'Central'!G46,'External'!G46)</x:f>
        <x:v>0</x:v>
      </x:c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</x:row>
    <x:row r="47" ht="34" customHeight="1">
      <x:c r="A47" s="11" t="str">
        <x:v>B-043</x:v>
      </x:c>
      <x:c r="B47" s="11" t="str">
        <x:v>J10/J11对应双40针连接（实板决定）</x:v>
      </x:c>
      <x:c r="C47" s="11" t="n">
        <x:f>'Upper'!E47</x:f>
        <x:v>0</x:v>
      </x:c>
      <x:c r="D47" s="11" t="n">
        <x:f>'Lower'!E47</x:f>
        <x:v>0</x:v>
      </x:c>
      <x:c r="E47" s="11" t="n">
        <x:f>'Central'!E47</x:f>
        <x:v>0</x:v>
      </x:c>
      <x:c r="F47" s="11" t="n">
        <x:f>'External'!E47</x:f>
        <x:v>2</x:v>
      </x:c>
      <x:c r="G47" s="11" t="n">
        <x:f>SUM(C47:F47)</x:f>
        <x:v>2</x:v>
      </x:c>
      <x:c r="H47" s="11" t="n">
        <x:f>SUM('Upper'!G47,'Lower'!G47,'Central'!G47,'External'!G47)</x:f>
        <x:v>3</x:v>
      </x:c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</x:row>
    <x:row r="48" ht="34" customHeight="1">
      <x:c r="A48" s="11" t="str">
        <x:v>B-044</x:v>
      </x:c>
      <x:c r="B48" s="11" t="str">
        <x:v>12V 5A supply candidate (each)</x:v>
      </x:c>
      <x:c r="C48" s="11" t="n">
        <x:f>'Upper'!E48</x:f>
        <x:v>0</x:v>
      </x:c>
      <x:c r="D48" s="11" t="n">
        <x:f>'Lower'!E48</x:f>
        <x:v>0</x:v>
      </x:c>
      <x:c r="E48" s="11" t="n">
        <x:f>'Central'!E48</x:f>
        <x:v>0</x:v>
      </x:c>
      <x:c r="F48" s="11" t="n">
        <x:f>'External'!E48</x:f>
        <x:v>0</x:v>
      </x:c>
      <x:c r="G48" s="11" t="n">
        <x:f>SUM(C48:F48)</x:f>
        <x:v>0</x:v>
      </x:c>
      <x:c r="H48" s="11" t="n">
        <x:f>SUM('Upper'!G48,'Lower'!G48,'Central'!G48,'External'!G48)</x:f>
        <x:v>0</x:v>
      </x:c>
      <x:c r="I48" s="9"/>
      <x:c r="J48" s="9"/>
      <x:c r="K48" s="9"/>
      <x:c r="L48" s="9"/>
      <x:c r="M48" s="9"/>
      <x:c r="N48" s="9"/>
      <x:c r="O48" s="9"/>
      <x:c r="P48" s="9"/>
      <x:c r="Q48" s="9"/>
      <x:c r="R48" s="9"/>
      <x:c r="S48" s="9"/>
      <x:c r="T48" s="9"/>
      <x:c r="U48" s="9"/>
      <x:c r="V48" s="9"/>
    </x:row>
    <x:row r="49" ht="34" customHeight="1">
      <x:c r="A49" s="11" t="str">
        <x:v>B-045</x:v>
      </x:c>
      <x:c r="B49" s="11" t="str">
        <x:v>ALINX规定DC 5V配件</x:v>
      </x:c>
      <x:c r="C49" s="11" t="n">
        <x:f>'Upper'!E49</x:f>
        <x:v>0</x:v>
      </x:c>
      <x:c r="D49" s="11" t="n">
        <x:f>'Lower'!E49</x:f>
        <x:v>0</x:v>
      </x:c>
      <x:c r="E49" s="11" t="n">
        <x:f>'Central'!E49</x:f>
        <x:v>0</x:v>
      </x:c>
      <x:c r="F49" s="11" t="n">
        <x:f>'External'!E49</x:f>
        <x:v>1</x:v>
      </x:c>
      <x:c r="G49" s="11" t="n">
        <x:f>SUM(C49:F49)</x:f>
        <x:v>1</x:v>
      </x:c>
      <x:c r="H49" s="11" t="n">
        <x:f>SUM('Upper'!G49,'Lower'!G49,'Central'!G49,'External'!G49)</x:f>
        <x:v>2</x:v>
      </x:c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</x:row>
    <x:row r="50" ht="34" customHeight="1">
      <x:c r="A50" s="11" t="str">
        <x:v>B-046</x:v>
      </x:c>
      <x:c r="B50" s="11" t="str">
        <x:v>100nF 50V X7R</x:v>
      </x:c>
      <x:c r="C50" s="11" t="n">
        <x:f>'Upper'!E50</x:f>
        <x:v>71</x:v>
      </x:c>
      <x:c r="D50" s="11" t="n">
        <x:f>'Lower'!E50</x:f>
        <x:v>71</x:v>
      </x:c>
      <x:c r="E50" s="11" t="n">
        <x:f>'Central'!E50</x:f>
        <x:v>21</x:v>
      </x:c>
      <x:c r="F50" s="11" t="n">
        <x:f>'External'!E50</x:f>
        <x:v>0</x:v>
      </x:c>
      <x:c r="G50" s="11" t="n">
        <x:f>SUM(C50:F50)</x:f>
        <x:v>163</x:v>
      </x:c>
      <x:c r="H50" s="11" t="n">
        <x:f>SUM('Upper'!G50,'Lower'!G50,'Central'!G50,'External'!G50)</x:f>
        <x:v>182</x:v>
      </x:c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</x:row>
    <x:row r="51" ht="34" customHeight="1">
      <x:c r="A51" s="11" t="str">
        <x:v>B-047</x:v>
      </x:c>
      <x:c r="B51" s="11" t="str">
        <x:v>1µF 25V X7R</x:v>
      </x:c>
      <x:c r="C51" s="11" t="n">
        <x:f>'Upper'!E51</x:f>
        <x:v>33</x:v>
      </x:c>
      <x:c r="D51" s="11" t="n">
        <x:f>'Lower'!E51</x:f>
        <x:v>33</x:v>
      </x:c>
      <x:c r="E51" s="11" t="n">
        <x:f>'Central'!E51</x:f>
        <x:v>2</x:v>
      </x:c>
      <x:c r="F51" s="11" t="n">
        <x:f>'External'!E51</x:f>
        <x:v>0</x:v>
      </x:c>
      <x:c r="G51" s="11" t="n">
        <x:f>SUM(C51:F51)</x:f>
        <x:v>68</x:v>
      </x:c>
      <x:c r="H51" s="11" t="n">
        <x:f>SUM('Upper'!G51,'Lower'!G51,'Central'!G51,'External'!G51)</x:f>
        <x:v>77</x:v>
      </x:c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</x:row>
    <x:row r="52" ht="34" customHeight="1">
      <x:c r="A52" s="11" t="str">
        <x:v>B-048</x:v>
      </x:c>
      <x:c r="B52" s="11" t="str">
        <x:v>22µF 25V X7R</x:v>
      </x:c>
      <x:c r="C52" s="11" t="n">
        <x:f>'Upper'!E52</x:f>
        <x:v>12</x:v>
      </x:c>
      <x:c r="D52" s="11" t="n">
        <x:f>'Lower'!E52</x:f>
        <x:v>12</x:v>
      </x:c>
      <x:c r="E52" s="11" t="n">
        <x:f>'Central'!E52</x:f>
        <x:v>4</x:v>
      </x:c>
      <x:c r="F52" s="11" t="n">
        <x:f>'External'!E52</x:f>
        <x:v>0</x:v>
      </x:c>
      <x:c r="G52" s="11" t="n">
        <x:f>SUM(C52:F52)</x:f>
        <x:v>28</x:v>
      </x:c>
      <x:c r="H52" s="11" t="n">
        <x:f>SUM('Upper'!G52,'Lower'!G52,'Central'!G52,'External'!G52)</x:f>
        <x:v>33</x:v>
      </x:c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</x:row>
    <x:row r="53" ht="34" customHeight="1">
      <x:c r="A53" s="11" t="str">
        <x:v>B-049</x:v>
      </x:c>
      <x:c r="B53" s="11" t="str">
        <x:v>10µF 25V X7R</x:v>
      </x:c>
      <x:c r="C53" s="11" t="n">
        <x:f>'Upper'!E53</x:f>
        <x:v>3</x:v>
      </x:c>
      <x:c r="D53" s="11" t="n">
        <x:f>'Lower'!E53</x:f>
        <x:v>3</x:v>
      </x:c>
      <x:c r="E53" s="11" t="n">
        <x:f>'Central'!E53</x:f>
        <x:v>5</x:v>
      </x:c>
      <x:c r="F53" s="11" t="n">
        <x:f>'External'!E53</x:f>
        <x:v>0</x:v>
      </x:c>
      <x:c r="G53" s="11" t="n">
        <x:f>SUM(C53:F53)</x:f>
        <x:v>11</x:v>
      </x:c>
      <x:c r="H53" s="11" t="n">
        <x:f>SUM('Upper'!G53,'Lower'!G53,'Central'!G53,'External'!G53)</x:f>
        <x:v>14</x:v>
      </x:c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</x:row>
    <x:row r="54" ht="34" customHeight="1">
      <x:c r="A54" s="11" t="str">
        <x:v>B-050</x:v>
      </x:c>
      <x:c r="B54" s="11" t="str">
        <x:v>2.2µF 25V X7R</x:v>
      </x:c>
      <x:c r="C54" s="11" t="n">
        <x:f>'Upper'!E54</x:f>
        <x:v>2</x:v>
      </x:c>
      <x:c r="D54" s="11" t="n">
        <x:f>'Lower'!E54</x:f>
        <x:v>2</x:v>
      </x:c>
      <x:c r="E54" s="11" t="n">
        <x:f>'Central'!E54</x:f>
        <x:v>2</x:v>
      </x:c>
      <x:c r="F54" s="11" t="n">
        <x:f>'External'!E54</x:f>
        <x:v>0</x:v>
      </x:c>
      <x:c r="G54" s="11" t="n">
        <x:f>SUM(C54:F54)</x:f>
        <x:v>6</x:v>
      </x:c>
      <x:c r="H54" s="11" t="n">
        <x:f>SUM('Upper'!G54,'Lower'!G54,'Central'!G54,'External'!G54)</x:f>
        <x:v>9</x:v>
      </x:c>
      <x:c r="I54" s="9"/>
      <x:c r="J54" s="9"/>
      <x:c r="K54" s="9"/>
      <x:c r="L54" s="9"/>
      <x:c r="M54" s="9"/>
      <x:c r="N54" s="9"/>
      <x:c r="O54" s="9"/>
      <x:c r="P54" s="9"/>
      <x:c r="Q54" s="9"/>
      <x:c r="R54" s="9"/>
      <x:c r="S54" s="9"/>
      <x:c r="T54" s="9"/>
      <x:c r="U54" s="9"/>
      <x:c r="V54" s="9"/>
    </x:row>
    <x:row r="55" ht="34" customHeight="1">
      <x:c r="A55" s="11" t="str">
        <x:v>B-051</x:v>
      </x:c>
      <x:c r="B55" s="11" t="str">
        <x:v>470µF 35V</x:v>
      </x:c>
      <x:c r="C55" s="11" t="n">
        <x:f>'Upper'!E55</x:f>
        <x:v>1</x:v>
      </x:c>
      <x:c r="D55" s="11" t="n">
        <x:f>'Lower'!E55</x:f>
        <x:v>1</x:v>
      </x:c>
      <x:c r="E55" s="11" t="n">
        <x:f>'Central'!E55</x:f>
        <x:v>0</x:v>
      </x:c>
      <x:c r="F55" s="11" t="n">
        <x:f>'External'!E55</x:f>
        <x:v>0</x:v>
      </x:c>
      <x:c r="G55" s="11" t="n">
        <x:f>SUM(C55:F55)</x:f>
        <x:v>2</x:v>
      </x:c>
      <x:c r="H55" s="11" t="n">
        <x:f>SUM('Upper'!G55,'Lower'!G55,'Central'!G55,'External'!G55)</x:f>
        <x:v>4</x:v>
      </x:c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</x:row>
    <x:row r="56" ht="34" customHeight="1">
      <x:c r="A56" s="11" t="str">
        <x:v>B-052</x:v>
      </x:c>
      <x:c r="B56" s="11" t="str">
        <x:v>10nF 50V C0G</x:v>
      </x:c>
      <x:c r="C56" s="11" t="n">
        <x:f>'Upper'!E56</x:f>
        <x:v>4</x:v>
      </x:c>
      <x:c r="D56" s="11" t="n">
        <x:f>'Lower'!E56</x:f>
        <x:v>4</x:v>
      </x:c>
      <x:c r="E56" s="11" t="n">
        <x:f>'Central'!E56</x:f>
        <x:v>0</x:v>
      </x:c>
      <x:c r="F56" s="11" t="n">
        <x:f>'External'!E56</x:f>
        <x:v>0</x:v>
      </x:c>
      <x:c r="G56" s="11" t="n">
        <x:f>SUM(C56:F56)</x:f>
        <x:v>8</x:v>
      </x:c>
      <x:c r="H56" s="11" t="n">
        <x:f>SUM('Upper'!G56,'Lower'!G56,'Central'!G56,'External'!G56)</x:f>
        <x:v>10</x:v>
      </x:c>
      <x:c r="I56" s="9"/>
      <x:c r="J56" s="9"/>
      <x:c r="K56" s="9"/>
      <x:c r="L56" s="9"/>
      <x:c r="M56" s="9"/>
      <x:c r="N56" s="9"/>
      <x:c r="O56" s="9"/>
      <x:c r="P56" s="9"/>
      <x:c r="Q56" s="9"/>
      <x:c r="R56" s="9"/>
      <x:c r="S56" s="9"/>
      <x:c r="T56" s="9"/>
      <x:c r="U56" s="9"/>
      <x:c r="V56" s="9"/>
    </x:row>
    <x:row r="57" ht="34" customHeight="1">
      <x:c r="A57" s="11" t="str">
        <x:v>B-053</x:v>
      </x:c>
      <x:c r="B57" s="11" t="str">
        <x:v>1nF 50V C0G</x:v>
      </x:c>
      <x:c r="C57" s="11" t="n">
        <x:f>'Upper'!E57</x:f>
        <x:v>4</x:v>
      </x:c>
      <x:c r="D57" s="11" t="n">
        <x:f>'Lower'!E57</x:f>
        <x:v>4</x:v>
      </x:c>
      <x:c r="E57" s="11" t="n">
        <x:f>'Central'!E57</x:f>
        <x:v>8</x:v>
      </x:c>
      <x:c r="F57" s="11" t="n">
        <x:f>'External'!E57</x:f>
        <x:v>0</x:v>
      </x:c>
      <x:c r="G57" s="11" t="n">
        <x:f>SUM(C57:F57)</x:f>
        <x:v>16</x:v>
      </x:c>
      <x:c r="H57" s="11" t="n">
        <x:f>SUM('Upper'!G57,'Lower'!G57,'Central'!G57,'External'!G57)</x:f>
        <x:v>19</x:v>
      </x:c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</x:row>
    <x:row r="58" ht="34" customHeight="1">
      <x:c r="A58" s="11" t="str">
        <x:v>B-054</x:v>
      </x:c>
      <x:c r="B58" s="11" t="str">
        <x:v>100kΩ 1%</x:v>
      </x:c>
      <x:c r="C58" s="11" t="n">
        <x:f>'Upper'!E58</x:f>
        <x:v>89</x:v>
      </x:c>
      <x:c r="D58" s="11" t="n">
        <x:f>'Lower'!E58</x:f>
        <x:v>89</x:v>
      </x:c>
      <x:c r="E58" s="11" t="n">
        <x:f>'Central'!E58</x:f>
        <x:v>2</x:v>
      </x:c>
      <x:c r="F58" s="11" t="n">
        <x:f>'External'!E58</x:f>
        <x:v>0</x:v>
      </x:c>
      <x:c r="G58" s="11" t="n">
        <x:f>SUM(C58:F58)</x:f>
        <x:v>180</x:v>
      </x:c>
      <x:c r="H58" s="11" t="n">
        <x:f>SUM('Upper'!G58,'Lower'!G58,'Central'!G58,'External'!G58)</x:f>
        <x:v>199</x:v>
      </x:c>
      <x:c r="I58" s="9"/>
      <x:c r="J58" s="9"/>
      <x:c r="K58" s="9"/>
      <x:c r="L58" s="9"/>
      <x:c r="M58" s="9"/>
      <x:c r="N58" s="9"/>
      <x:c r="O58" s="9"/>
      <x:c r="P58" s="9"/>
      <x:c r="Q58" s="9"/>
      <x:c r="R58" s="9"/>
      <x:c r="S58" s="9"/>
      <x:c r="T58" s="9"/>
      <x:c r="U58" s="9"/>
      <x:c r="V58" s="9"/>
    </x:row>
    <x:row r="59" ht="34" customHeight="1">
      <x:c r="A59" s="11" t="str">
        <x:v>B-055</x:v>
      </x:c>
      <x:c r="B59" s="11" t="str">
        <x:v>10kΩ 1%</x:v>
      </x:c>
      <x:c r="C59" s="11" t="n">
        <x:f>'Upper'!E59</x:f>
        <x:v>3</x:v>
      </x:c>
      <x:c r="D59" s="11" t="n">
        <x:f>'Lower'!E59</x:f>
        <x:v>3</x:v>
      </x:c>
      <x:c r="E59" s="11" t="n">
        <x:f>'Central'!E59</x:f>
        <x:v>0</x:v>
      </x:c>
      <x:c r="F59" s="11" t="n">
        <x:f>'External'!E59</x:f>
        <x:v>0</x:v>
      </x:c>
      <x:c r="G59" s="11" t="n">
        <x:f>SUM(C59:F59)</x:f>
        <x:v>6</x:v>
      </x:c>
      <x:c r="H59" s="11" t="n">
        <x:f>SUM('Upper'!G59,'Lower'!G59,'Central'!G59,'External'!G59)</x:f>
        <x:v>8</x:v>
      </x:c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</x:row>
    <x:row r="60" ht="34" customHeight="1">
      <x:c r="A60" s="11" t="str">
        <x:v>B-056</x:v>
      </x:c>
      <x:c r="B60" s="11" t="str">
        <x:v>4.7kΩ 1%</x:v>
      </x:c>
      <x:c r="C60" s="11" t="n">
        <x:f>'Upper'!E60</x:f>
        <x:v>2</x:v>
      </x:c>
      <x:c r="D60" s="11" t="n">
        <x:f>'Lower'!E60</x:f>
        <x:v>2</x:v>
      </x:c>
      <x:c r="E60" s="11" t="n">
        <x:f>'Central'!E60</x:f>
        <x:v>2</x:v>
      </x:c>
      <x:c r="F60" s="11" t="n">
        <x:f>'External'!E60</x:f>
        <x:v>0</x:v>
      </x:c>
      <x:c r="G60" s="11" t="n">
        <x:f>SUM(C60:F60)</x:f>
        <x:v>6</x:v>
      </x:c>
      <x:c r="H60" s="11" t="n">
        <x:f>SUM('Upper'!G60,'Lower'!G60,'Central'!G60,'External'!G60)</x:f>
        <x:v>9</x:v>
      </x:c>
      <x:c r="I60" s="9"/>
      <x:c r="J60" s="9"/>
      <x:c r="K60" s="9"/>
      <x:c r="L60" s="9"/>
      <x:c r="M60" s="9"/>
      <x:c r="N60" s="9"/>
      <x:c r="O60" s="9"/>
      <x:c r="P60" s="9"/>
      <x:c r="Q60" s="9"/>
      <x:c r="R60" s="9"/>
      <x:c r="S60" s="9"/>
      <x:c r="T60" s="9"/>
      <x:c r="U60" s="9"/>
      <x:c r="V60" s="9"/>
    </x:row>
    <x:row r="61" ht="34" customHeight="1">
      <x:c r="A61" s="11" t="str">
        <x:v>B-057</x:v>
      </x:c>
      <x:c r="B61" s="11" t="str">
        <x:v>1kΩ 1%</x:v>
      </x:c>
      <x:c r="C61" s="11" t="n">
        <x:f>'Upper'!E61</x:f>
        <x:v>8</x:v>
      </x:c>
      <x:c r="D61" s="11" t="n">
        <x:f>'Lower'!E61</x:f>
        <x:v>8</x:v>
      </x:c>
      <x:c r="E61" s="11" t="n">
        <x:f>'Central'!E61</x:f>
        <x:v>0</x:v>
      </x:c>
      <x:c r="F61" s="11" t="n">
        <x:f>'External'!E61</x:f>
        <x:v>0</x:v>
      </x:c>
      <x:c r="G61" s="11" t="n">
        <x:f>SUM(C61:F61)</x:f>
        <x:v>16</x:v>
      </x:c>
      <x:c r="H61" s="11" t="n">
        <x:f>SUM('Upper'!G61,'Lower'!G61,'Central'!G61,'External'!G61)</x:f>
        <x:v>18</x:v>
      </x:c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</x:row>
    <x:row r="62" ht="34" customHeight="1">
      <x:c r="A62" s="11" t="str">
        <x:v>B-058</x:v>
      </x:c>
      <x:c r="B62" s="11" t="str">
        <x:v>47Ω 1%</x:v>
      </x:c>
      <x:c r="C62" s="11" t="n">
        <x:f>'Upper'!E62</x:f>
        <x:v>4</x:v>
      </x:c>
      <x:c r="D62" s="11" t="n">
        <x:f>'Lower'!E62</x:f>
        <x:v>4</x:v>
      </x:c>
      <x:c r="E62" s="11" t="n">
        <x:f>'Central'!E62</x:f>
        <x:v>8</x:v>
      </x:c>
      <x:c r="F62" s="11" t="n">
        <x:f>'External'!E62</x:f>
        <x:v>0</x:v>
      </x:c>
      <x:c r="G62" s="11" t="n">
        <x:f>SUM(C62:F62)</x:f>
        <x:v>16</x:v>
      </x:c>
      <x:c r="H62" s="11" t="n">
        <x:f>SUM('Upper'!G62,'Lower'!G62,'Central'!G62,'External'!G62)</x:f>
        <x:v>19</x:v>
      </x:c>
      <x:c r="I62" s="9"/>
      <x:c r="J62" s="9"/>
      <x:c r="K62" s="9"/>
      <x:c r="L62" s="9"/>
      <x:c r="M62" s="9"/>
      <x:c r="N62" s="9"/>
      <x:c r="O62" s="9"/>
      <x:c r="P62" s="9"/>
      <x:c r="Q62" s="9"/>
      <x:c r="R62" s="9"/>
      <x:c r="S62" s="9"/>
      <x:c r="T62" s="9"/>
      <x:c r="U62" s="9"/>
      <x:c r="V62" s="9"/>
    </x:row>
    <x:row r="63" ht="34" customHeight="1">
      <x:c r="A63" s="11" t="str">
        <x:v>B-059</x:v>
      </x:c>
      <x:c r="B63" s="11" t="str">
        <x:v>33Ω 1%</x:v>
      </x:c>
      <x:c r="C63" s="11" t="n">
        <x:f>'Upper'!E63</x:f>
        <x:v>8</x:v>
      </x:c>
      <x:c r="D63" s="11" t="n">
        <x:f>'Lower'!E63</x:f>
        <x:v>8</x:v>
      </x:c>
      <x:c r="E63" s="11" t="n">
        <x:f>'Central'!E63</x:f>
        <x:v>0</x:v>
      </x:c>
      <x:c r="F63" s="11" t="n">
        <x:f>'External'!E63</x:f>
        <x:v>0</x:v>
      </x:c>
      <x:c r="G63" s="11" t="n">
        <x:f>SUM(C63:F63)</x:f>
        <x:v>16</x:v>
      </x:c>
      <x:c r="H63" s="11" t="n">
        <x:f>SUM('Upper'!G63,'Lower'!G63,'Central'!G63,'External'!G63)</x:f>
        <x:v>18</x:v>
      </x:c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</x:row>
    <x:row r="64" ht="34" customHeight="1">
      <x:c r="A64" s="11" t="str">
        <x:v>B-060</x:v>
      </x:c>
      <x:c r="B64" s="11" t="str">
        <x:v>10Ω 1%</x:v>
      </x:c>
      <x:c r="C64" s="11" t="n">
        <x:f>'Upper'!E64</x:f>
        <x:v>2</x:v>
      </x:c>
      <x:c r="D64" s="11" t="n">
        <x:f>'Lower'!E64</x:f>
        <x:v>2</x:v>
      </x:c>
      <x:c r="E64" s="11" t="n">
        <x:f>'Central'!E64</x:f>
        <x:v>2</x:v>
      </x:c>
      <x:c r="F64" s="11" t="n">
        <x:f>'External'!E64</x:f>
        <x:v>0</x:v>
      </x:c>
      <x:c r="G64" s="11" t="n">
        <x:f>SUM(C64:F64)</x:f>
        <x:v>6</x:v>
      </x:c>
      <x:c r="H64" s="11" t="n">
        <x:f>SUM('Upper'!G64,'Lower'!G64,'Central'!G64,'External'!G64)</x:f>
        <x:v>9</x:v>
      </x:c>
      <x:c r="I64" s="9"/>
      <x:c r="J64" s="9"/>
      <x:c r="K64" s="9"/>
      <x:c r="L64" s="9"/>
      <x:c r="M64" s="9"/>
      <x:c r="N64" s="9"/>
      <x:c r="O64" s="9"/>
      <x:c r="P64" s="9"/>
      <x:c r="Q64" s="9"/>
      <x:c r="R64" s="9"/>
      <x:c r="S64" s="9"/>
      <x:c r="T64" s="9"/>
      <x:c r="U64" s="9"/>
      <x:c r="V64" s="9"/>
    </x:row>
    <x:row r="65" ht="34" customHeight="1">
      <x:c r="A65" s="11" t="str">
        <x:v>B-061</x:v>
      </x:c>
      <x:c r="B65" s="11" t="str">
        <x:v>0Ω 0603</x:v>
      </x:c>
      <x:c r="C65" s="11" t="n">
        <x:f>'Upper'!E65</x:f>
        <x:v>68</x:v>
      </x:c>
      <x:c r="D65" s="11" t="n">
        <x:f>'Lower'!E65</x:f>
        <x:v>68</x:v>
      </x:c>
      <x:c r="E65" s="11" t="n">
        <x:f>'Central'!E65</x:f>
        <x:v>0</x:v>
      </x:c>
      <x:c r="F65" s="11" t="n">
        <x:f>'External'!E65</x:f>
        <x:v>0</x:v>
      </x:c>
      <x:c r="G65" s="11" t="n">
        <x:f>SUM(C65:F65)</x:f>
        <x:v>136</x:v>
      </x:c>
      <x:c r="H65" s="11" t="n">
        <x:f>SUM('Upper'!G65,'Lower'!G65,'Central'!G65,'External'!G65)</x:f>
        <x:v>150</x:v>
      </x:c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</x:row>
    <x:row r="66" ht="34" customHeight="1">
      <x:c r="A66" s="11" t="str">
        <x:v>B-062</x:v>
      </x:c>
      <x:c r="B66" s="11" t="str">
        <x:v>1.65kΩ 1%</x:v>
      </x:c>
      <x:c r="C66" s="11" t="n">
        <x:f>'Upper'!E66</x:f>
        <x:v>1</x:v>
      </x:c>
      <x:c r="D66" s="11" t="n">
        <x:f>'Lower'!E66</x:f>
        <x:v>1</x:v>
      </x:c>
      <x:c r="E66" s="11" t="n">
        <x:f>'Central'!E66</x:f>
        <x:v>1</x:v>
      </x:c>
      <x:c r="F66" s="11" t="n">
        <x:f>'External'!E66</x:f>
        <x:v>0</x:v>
      </x:c>
      <x:c r="G66" s="11" t="n">
        <x:f>SUM(C66:F66)</x:f>
        <x:v>3</x:v>
      </x:c>
      <x:c r="H66" s="11" t="n">
        <x:f>SUM('Upper'!G66,'Lower'!G66,'Central'!G66,'External'!G66)</x:f>
        <x:v>6</x:v>
      </x:c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</x:row>
    <x:row r="67" ht="34" customHeight="1">
      <x:c r="A67" s="11" t="str">
        <x:v>B-063</x:v>
      </x:c>
      <x:c r="B67" s="11" t="str">
        <x:v>1.37MΩ 1%</x:v>
      </x:c>
      <x:c r="C67" s="11" t="n">
        <x:f>'Upper'!E67</x:f>
        <x:v>1</x:v>
      </x:c>
      <x:c r="D67" s="11" t="n">
        <x:f>'Lower'!E67</x:f>
        <x:v>1</x:v>
      </x:c>
      <x:c r="E67" s="11" t="n">
        <x:f>'Central'!E67</x:f>
        <x:v>1</x:v>
      </x:c>
      <x:c r="F67" s="11" t="n">
        <x:f>'External'!E67</x:f>
        <x:v>0</x:v>
      </x:c>
      <x:c r="G67" s="11" t="n">
        <x:f>SUM(C67:F67)</x:f>
        <x:v>3</x:v>
      </x:c>
      <x:c r="H67" s="11" t="n">
        <x:f>SUM('Upper'!G67,'Lower'!G67,'Central'!G67,'External'!G67)</x:f>
        <x:v>6</x:v>
      </x:c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</x:row>
    <x:row r="68" ht="34" customHeight="1">
      <x:c r="A68" s="11" t="str">
        <x:v>B-064</x:v>
      </x:c>
      <x:c r="B68" s="11" t="str">
        <x:v>590kΩ 1%</x:v>
      </x:c>
      <x:c r="C68" s="11" t="n">
        <x:f>'Upper'!E68</x:f>
        <x:v>1</x:v>
      </x:c>
      <x:c r="D68" s="11" t="n">
        <x:f>'Lower'!E68</x:f>
        <x:v>1</x:v>
      </x:c>
      <x:c r="E68" s="11" t="n">
        <x:f>'Central'!E68</x:f>
        <x:v>1</x:v>
      </x:c>
      <x:c r="F68" s="11" t="n">
        <x:f>'External'!E68</x:f>
        <x:v>0</x:v>
      </x:c>
      <x:c r="G68" s="11" t="n">
        <x:f>SUM(C68:F68)</x:f>
        <x:v>3</x:v>
      </x:c>
      <x:c r="H68" s="11" t="n">
        <x:f>SUM('Upper'!G68,'Lower'!G68,'Central'!G68,'External'!G68)</x:f>
        <x:v>6</x:v>
      </x:c>
      <x:c r="I68" s="9"/>
      <x:c r="J68" s="9"/>
      <x:c r="K68" s="9"/>
      <x:c r="L68" s="9"/>
      <x:c r="M68" s="9"/>
      <x:c r="N68" s="9"/>
      <x:c r="O68" s="9"/>
      <x:c r="P68" s="9"/>
      <x:c r="Q68" s="9"/>
      <x:c r="R68" s="9"/>
      <x:c r="S68" s="9"/>
      <x:c r="T68" s="9"/>
      <x:c r="U68" s="9"/>
      <x:c r="V68" s="9"/>
    </x:row>
    <x:row r="69" ht="34" customHeight="1">
      <x:c r="A69" s="11" t="str">
        <x:v>B-065</x:v>
      </x:c>
      <x:c r="B69" s="11" t="str">
        <x:v>100kΩ 0.1%</x:v>
      </x:c>
      <x:c r="C69" s="11" t="n">
        <x:f>'Upper'!E69</x:f>
        <x:v>4</x:v>
      </x:c>
      <x:c r="D69" s="11" t="n">
        <x:f>'Lower'!E69</x:f>
        <x:v>4</x:v>
      </x:c>
      <x:c r="E69" s="11" t="n">
        <x:f>'Central'!E69</x:f>
        <x:v>0</x:v>
      </x:c>
      <x:c r="F69" s="11" t="n">
        <x:f>'External'!E69</x:f>
        <x:v>0</x:v>
      </x:c>
      <x:c r="G69" s="11" t="n">
        <x:f>SUM(C69:F69)</x:f>
        <x:v>8</x:v>
      </x:c>
      <x:c r="H69" s="11" t="n">
        <x:f>SUM('Upper'!G69,'Lower'!G69,'Central'!G69,'External'!G69)</x:f>
        <x:v>10</x:v>
      </x:c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</x:row>
    <x:row r="70" ht="34" customHeight="1">
      <x:c r="A70" s="11" t="str">
        <x:v>B-066</x:v>
      </x:c>
      <x:c r="B70" s="11" t="str">
        <x:v>10kΩ 0.1%</x:v>
      </x:c>
      <x:c r="C70" s="11" t="n">
        <x:f>'Upper'!E70</x:f>
        <x:v>12</x:v>
      </x:c>
      <x:c r="D70" s="11" t="n">
        <x:f>'Lower'!E70</x:f>
        <x:v>12</x:v>
      </x:c>
      <x:c r="E70" s="11" t="n">
        <x:f>'Central'!E70</x:f>
        <x:v>0</x:v>
      </x:c>
      <x:c r="F70" s="11" t="n">
        <x:f>'External'!E70</x:f>
        <x:v>0</x:v>
      </x:c>
      <x:c r="G70" s="11" t="n">
        <x:f>SUM(C70:F70)</x:f>
        <x:v>24</x:v>
      </x:c>
      <x:c r="H70" s="11" t="n">
        <x:f>SUM('Upper'!G70,'Lower'!G70,'Central'!G70,'External'!G70)</x:f>
        <x:v>28</x:v>
      </x:c>
      <x:c r="I70" s="9"/>
      <x:c r="J70" s="9"/>
      <x:c r="K70" s="9"/>
      <x:c r="L70" s="9"/>
      <x:c r="M70" s="9"/>
      <x:c r="N70" s="9"/>
      <x:c r="O70" s="9"/>
      <x:c r="P70" s="9"/>
      <x:c r="Q70" s="9"/>
      <x:c r="R70" s="9"/>
      <x:c r="S70" s="9"/>
      <x:c r="T70" s="9"/>
      <x:c r="U70" s="9"/>
      <x:c r="V70" s="9"/>
    </x:row>
    <x:row r="71" ht="34" customHeight="1">
      <x:c r="A71" s="11" t="str">
        <x:v>B-067</x:v>
      </x:c>
      <x:c r="B71" s="11" t="str">
        <x:v>1.2kΩ 0603 DNP</x:v>
      </x:c>
      <x:c r="C71" s="11" t="n">
        <x:f>'Upper'!E71</x:f>
        <x:v>0</x:v>
      </x:c>
      <x:c r="D71" s="11" t="n">
        <x:f>'Lower'!E71</x:f>
        <x:v>0</x:v>
      </x:c>
      <x:c r="E71" s="11" t="n">
        <x:f>'Central'!E71</x:f>
        <x:v>0</x:v>
      </x:c>
      <x:c r="F71" s="11" t="n">
        <x:f>'External'!E71</x:f>
        <x:v>0</x:v>
      </x:c>
      <x:c r="G71" s="11" t="n">
        <x:f>SUM(C71:F71)</x:f>
        <x:v>0</x:v>
      </x:c>
      <x:c r="H71" s="11" t="n">
        <x:f>SUM('Upper'!G71,'Lower'!G71,'Central'!G71,'External'!G71)</x:f>
        <x:v>0</x:v>
      </x:c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</x:row>
    <x:row r="72" ht="34" customHeight="1">
      <x:c r="A72" s="11" t="str">
        <x:v>B-068</x:v>
      </x:c>
      <x:c r="B72" s="11" t="str">
        <x:v>39kΩ 0.1% DNP</x:v>
      </x:c>
      <x:c r="C72" s="11" t="n">
        <x:f>'Upper'!E72</x:f>
        <x:v>0</x:v>
      </x:c>
      <x:c r="D72" s="11" t="n">
        <x:f>'Lower'!E72</x:f>
        <x:v>0</x:v>
      </x:c>
      <x:c r="E72" s="11" t="n">
        <x:f>'Central'!E72</x:f>
        <x:v>0</x:v>
      </x:c>
      <x:c r="F72" s="11" t="n">
        <x:f>'External'!E72</x:f>
        <x:v>0</x:v>
      </x:c>
      <x:c r="G72" s="11" t="n">
        <x:f>SUM(C72:F72)</x:f>
        <x:v>0</x:v>
      </x:c>
      <x:c r="H72" s="11" t="n">
        <x:f>SUM('Upper'!G72,'Lower'!G72,'Central'!G72,'External'!G72)</x:f>
        <x:v>0</x:v>
      </x:c>
      <x:c r="I72" s="9"/>
      <x:c r="J72" s="9"/>
      <x:c r="K72" s="9"/>
      <x:c r="L72" s="9"/>
      <x:c r="M72" s="9"/>
      <x:c r="N72" s="9"/>
      <x:c r="O72" s="9"/>
      <x:c r="P72" s="9"/>
      <x:c r="Q72" s="9"/>
      <x:c r="R72" s="9"/>
      <x:c r="S72" s="9"/>
      <x:c r="T72" s="9"/>
      <x:c r="U72" s="9"/>
      <x:c r="V72" s="9"/>
    </x:row>
    <x:row r="73" ht="34" customHeight="1">
      <x:c r="A73" s="11" t="str">
        <x:v>B-069</x:v>
      </x:c>
      <x:c r="B73" s="11" t="str">
        <x:v>200x180mm_COMMON_ARRAY_EXTENSION_CANDIDATE</x:v>
      </x:c>
      <x:c r="C73" s="11" t="n">
        <x:f>'Upper'!E73</x:f>
        <x:v>1</x:v>
      </x:c>
      <x:c r="D73" s="11" t="n">
        <x:f>'Lower'!E73</x:f>
        <x:v>1</x:v>
      </x:c>
      <x:c r="E73" s="11" t="n">
        <x:f>'Central'!E73</x:f>
        <x:v>0</x:v>
      </x:c>
      <x:c r="F73" s="11" t="n">
        <x:f>'External'!E73</x:f>
        <x:v>0</x:v>
      </x:c>
      <x:c r="G73" s="11" t="n">
        <x:f>SUM(C73:F73)</x:f>
        <x:v>2</x:v>
      </x:c>
      <x:c r="H73" s="11" t="n">
        <x:f>SUM('Upper'!G73,'Lower'!G73,'Central'!G73,'External'!G73)</x:f>
        <x:v>4</x:v>
      </x:c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</x:row>
    <x:row r="74" ht="34" customHeight="1">
      <x:c r="A74" s="11" t="str">
        <x:v>B-070</x:v>
      </x:c>
      <x:c r="B74" s="11" t="str">
        <x:v>100×80mm 4L候选</x:v>
      </x:c>
      <x:c r="C74" s="11" t="n">
        <x:f>'Upper'!E74</x:f>
        <x:v>0</x:v>
      </x:c>
      <x:c r="D74" s="11" t="n">
        <x:f>'Lower'!E74</x:f>
        <x:v>0</x:v>
      </x:c>
      <x:c r="E74" s="11" t="n">
        <x:f>'Central'!E74</x:f>
        <x:v>1</x:v>
      </x:c>
      <x:c r="F74" s="11" t="n">
        <x:f>'External'!E74</x:f>
        <x:v>0</x:v>
      </x:c>
      <x:c r="G74" s="11" t="n">
        <x:f>SUM(C74:F74)</x:f>
        <x:v>1</x:v>
      </x:c>
      <x:c r="H74" s="11" t="n">
        <x:f>SUM('Upper'!G74,'Lower'!G74,'Central'!G74,'External'!G74)</x:f>
        <x:v>2</x:v>
      </x:c>
      <x:c r="I74" s="9"/>
      <x:c r="J74" s="9"/>
      <x:c r="K74" s="9"/>
      <x:c r="L74" s="9"/>
      <x:c r="M74" s="9"/>
      <x:c r="N74" s="9"/>
      <x:c r="O74" s="9"/>
      <x:c r="P74" s="9"/>
      <x:c r="Q74" s="9"/>
      <x:c r="R74" s="9"/>
      <x:c r="S74" s="9"/>
      <x:c r="T74" s="9"/>
      <x:c r="U74" s="9"/>
      <x:c r="V74" s="9"/>
    </x:row>
    <x:row r="75" ht="34" customHeight="1">
      <x:c r="A75" s="11" t="str">
        <x:v>B-071</x:v>
      </x:c>
      <x:c r="B75" s="11" t="str">
        <x:v>20×20mm 2L候选</x:v>
      </x:c>
      <x:c r="C75" s="11" t="n">
        <x:f>'Upper'!E75</x:f>
        <x:v>0</x:v>
      </x:c>
      <x:c r="D75" s="11" t="n">
        <x:f>'Lower'!E75</x:f>
        <x:v>0</x:v>
      </x:c>
      <x:c r="E75" s="11" t="n">
        <x:f>'Central'!E75</x:f>
        <x:v>0</x:v>
      </x:c>
      <x:c r="F75" s="11" t="n">
        <x:f>'External'!E75</x:f>
        <x:v>0</x:v>
      </x:c>
      <x:c r="G75" s="11" t="n">
        <x:f>SUM(C75:F75)</x:f>
        <x:v>0</x:v>
      </x:c>
      <x:c r="H75" s="11" t="n">
        <x:f>SUM('Upper'!G75,'Lower'!G75,'Central'!G75,'External'!G75)</x:f>
        <x:v>0</x:v>
      </x:c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</x:row>
    <x:row r="76" ht="34" customHeight="1">
      <x:c r="A76" s="11" t="str">
        <x:v>B-072</x:v>
      </x:c>
      <x:c r="B76" s="11" t="str">
        <x:v>M3非磁性螺钉/尼龙柱/滑轨</x:v>
      </x:c>
      <x:c r="C76" s="11" t="n">
        <x:f>'Upper'!E76</x:f>
        <x:v>0</x:v>
      </x:c>
      <x:c r="D76" s="11" t="n">
        <x:f>'Lower'!E76</x:f>
        <x:v>0</x:v>
      </x:c>
      <x:c r="E76" s="11" t="n">
        <x:f>'Central'!E76</x:f>
        <x:v>0</x:v>
      </x:c>
      <x:c r="F76" s="11" t="n">
        <x:f>'External'!E76</x:f>
        <x:v>1</x:v>
      </x:c>
      <x:c r="G76" s="11" t="n">
        <x:f>SUM(C76:F76)</x:f>
        <x:v>1</x:v>
      </x:c>
      <x:c r="H76" s="11" t="n">
        <x:f>SUM('Upper'!G76,'Lower'!G76,'Central'!G76,'External'!G76)</x:f>
        <x:v>2</x:v>
      </x:c>
      <x:c r="I76" s="9"/>
      <x:c r="J76" s="9"/>
      <x:c r="K76" s="9"/>
      <x:c r="L76" s="9"/>
      <x:c r="M76" s="9"/>
      <x:c r="N76" s="9"/>
      <x:c r="O76" s="9"/>
      <x:c r="P76" s="9"/>
      <x:c r="Q76" s="9"/>
      <x:c r="R76" s="9"/>
      <x:c r="S76" s="9"/>
      <x:c r="T76" s="9"/>
      <x:c r="U76" s="9"/>
      <x:c r="V76" s="9"/>
    </x:row>
    <x:row r="77" ht="34" customHeight="1">
      <x:c r="A77" s="11" t="str">
        <x:v>PC-001</x:v>
      </x:c>
      <x:c r="B77" s="11" t="str">
        <x:v>TCA4307DGKR</x:v>
      </x:c>
      <x:c r="C77" s="11" t="n">
        <x:f>'Upper'!E77</x:f>
        <x:v>0</x:v>
      </x:c>
      <x:c r="D77" s="11" t="n">
        <x:f>'Lower'!E77</x:f>
        <x:v>0</x:v>
      </x:c>
      <x:c r="E77" s="11" t="n">
        <x:f>'Central'!E77</x:f>
        <x:v>2</x:v>
      </x:c>
      <x:c r="F77" s="11" t="n">
        <x:f>'External'!E77</x:f>
        <x:v>0</x:v>
      </x:c>
      <x:c r="G77" s="11" t="n">
        <x:f>SUM(C77:F77)</x:f>
        <x:v>2</x:v>
      </x:c>
      <x:c r="H77" s="11" t="n">
        <x:f>SUM('Upper'!G77,'Lower'!G77,'Central'!G77,'External'!G77)</x:f>
        <x:v>3</x:v>
      </x:c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</x:row>
    <x:row r="78" ht="34" customHeight="1">
      <x:c r="A78" s="11" t="str">
        <x:v>PC-002</x:v>
      </x:c>
      <x:c r="B78" s="11" t="str">
        <x:v>PART_SELECTION_HOLD</x:v>
      </x:c>
      <x:c r="C78" s="11" t="n">
        <x:f>'Upper'!E78</x:f>
        <x:v>0</x:v>
      </x:c>
      <x:c r="D78" s="11" t="n">
        <x:f>'Lower'!E78</x:f>
        <x:v>0</x:v>
      </x:c>
      <x:c r="E78" s="11" t="n">
        <x:f>'Central'!E78</x:f>
        <x:v>0</x:v>
      </x:c>
      <x:c r="F78" s="11" t="n">
        <x:f>'External'!E78</x:f>
        <x:v>0</x:v>
      </x:c>
      <x:c r="G78" s="11" t="n">
        <x:f>SUM(C78:F78)</x:f>
        <x:v>0</x:v>
      </x:c>
      <x:c r="H78" s="11" t="n">
        <x:f>SUM('Upper'!G78,'Lower'!G78,'Central'!G78,'External'!G78)</x:f>
        <x:v>0</x:v>
      </x:c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</x:row>
    <x:row r="79" ht="34" customHeight="1">
      <x:c r="A79" s="11" t="str">
        <x:v>PC-003</x:v>
      </x:c>
      <x:c r="B79" s="11" t="str">
        <x:v>PART_SELECTION_HOLD</x:v>
      </x:c>
      <x:c r="C79" s="11" t="n">
        <x:f>'Upper'!E79</x:f>
        <x:v>0</x:v>
      </x:c>
      <x:c r="D79" s="11" t="n">
        <x:f>'Lower'!E79</x:f>
        <x:v>0</x:v>
      </x:c>
      <x:c r="E79" s="11" t="n">
        <x:f>'Central'!E79</x:f>
        <x:v>0</x:v>
      </x:c>
      <x:c r="F79" s="11" t="n">
        <x:f>'External'!E79</x:f>
        <x:v>0</x:v>
      </x:c>
      <x:c r="G79" s="11" t="n">
        <x:f>SUM(C79:F79)</x:f>
        <x:v>0</x:v>
      </x:c>
      <x:c r="H79" s="11" t="n">
        <x:f>SUM('Upper'!G79,'Lower'!G79,'Central'!G79,'External'!G79)</x:f>
        <x:v>0</x:v>
      </x:c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</x:row>
    <x:row r="80" ht="34" customHeight="1">
      <x:c r="A80" s="11" t="str">
        <x:v>PC-004</x:v>
      </x:c>
      <x:c r="B80" s="11" t="str">
        <x:v>PART_SELECTION_HOLD</x:v>
      </x:c>
      <x:c r="C80" s="11" t="n">
        <x:f>'Upper'!E80</x:f>
        <x:v>0</x:v>
      </x:c>
      <x:c r="D80" s="11" t="n">
        <x:f>'Lower'!E80</x:f>
        <x:v>0</x:v>
      </x:c>
      <x:c r="E80" s="11" t="n">
        <x:f>'Central'!E80</x:f>
        <x:v>0</x:v>
      </x:c>
      <x:c r="F80" s="11" t="n">
        <x:f>'External'!E80</x:f>
        <x:v>0</x:v>
      </x:c>
      <x:c r="G80" s="11" t="n">
        <x:f>SUM(C80:F80)</x:f>
        <x:v>0</x:v>
      </x:c>
      <x:c r="H80" s="11" t="n">
        <x:f>SUM('Upper'!G80,'Lower'!G80,'Central'!G80,'External'!G80)</x:f>
        <x:v>0</x:v>
      </x:c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</x:row>
    <x:row r="81" ht="34" customHeight="1">
      <x:c r="A81" s="11" t="str">
        <x:v>NS-001</x:v>
      </x:c>
      <x:c r="B81" s="11" t="str">
        <x:v>PART_SELECTION_HOLD</x:v>
      </x:c>
      <x:c r="C81" s="11" t="n">
        <x:f>'Upper'!E81</x:f>
        <x:v>1</x:v>
      </x:c>
      <x:c r="D81" s="11" t="n">
        <x:f>'Lower'!E81</x:f>
        <x:v>1</x:v>
      </x:c>
      <x:c r="E81" s="11" t="n">
        <x:f>'Central'!E81</x:f>
        <x:v>1</x:v>
      </x:c>
      <x:c r="F81" s="11" t="n">
        <x:f>'External'!E81</x:f>
        <x:v>0</x:v>
      </x:c>
      <x:c r="G81" s="11" t="n">
        <x:f>SUM(C81:F81)</x:f>
        <x:v>3</x:v>
      </x:c>
      <x:c r="H81" s="11" t="n">
        <x:f>SUM('Upper'!G81,'Lower'!G81,'Central'!G81,'External'!G81)</x:f>
        <x:v>6</x:v>
      </x:c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</x:row>
    <x:row r="82" ht="34" customHeight="1">
      <x:c r="A82" s="11" t="str">
        <x:v>NS-002</x:v>
      </x:c>
      <x:c r="B82" s="11" t="str">
        <x:v>PART_SELECTION_HOLD</x:v>
      </x:c>
      <x:c r="C82" s="11" t="n">
        <x:f>'Upper'!E82</x:f>
        <x:v>0</x:v>
      </x:c>
      <x:c r="D82" s="11" t="n">
        <x:f>'Lower'!E82</x:f>
        <x:v>0</x:v>
      </x:c>
      <x:c r="E82" s="11" t="n">
        <x:f>'Central'!E82</x:f>
        <x:v>0</x:v>
      </x:c>
      <x:c r="F82" s="11" t="n">
        <x:f>'External'!E82</x:f>
        <x:v>0</x:v>
      </x:c>
      <x:c r="G82" s="11" t="n">
        <x:f>SUM(C82:F82)</x:f>
        <x:v>0</x:v>
      </x:c>
      <x:c r="H82" s="11" t="n">
        <x:f>SUM('Upper'!G82,'Lower'!G82,'Central'!G82,'External'!G82)</x:f>
        <x:v>0</x:v>
      </x:c>
      <x:c r="I82" s="9"/>
      <x:c r="J82" s="9"/>
      <x:c r="K82" s="9"/>
      <x:c r="L82" s="9"/>
      <x:c r="M82" s="9"/>
      <x:c r="N82" s="9"/>
      <x:c r="O82" s="9"/>
      <x:c r="P82" s="9"/>
      <x:c r="Q82" s="9"/>
      <x:c r="R82" s="9"/>
      <x:c r="S82" s="9"/>
      <x:c r="T82" s="9"/>
      <x:c r="U82" s="9"/>
      <x:c r="V82" s="9"/>
    </x:row>
    <x:row r="83" ht="34" customHeight="1">
      <x:c r="A83" s="11" t="str">
        <x:v>NS-003</x:v>
      </x:c>
      <x:c r="B83" s="11" t="str">
        <x:v>PART_SELECTION_HOLD</x:v>
      </x:c>
      <x:c r="C83" s="11" t="n">
        <x:f>'Upper'!E83</x:f>
        <x:v>0</x:v>
      </x:c>
      <x:c r="D83" s="11" t="n">
        <x:f>'Lower'!E83</x:f>
        <x:v>0</x:v>
      </x:c>
      <x:c r="E83" s="11" t="n">
        <x:f>'Central'!E83</x:f>
        <x:v>0</x:v>
      </x:c>
      <x:c r="F83" s="11" t="n">
        <x:f>'External'!E83</x:f>
        <x:v>0</x:v>
      </x:c>
      <x:c r="G83" s="11" t="n">
        <x:f>SUM(C83:F83)</x:f>
        <x:v>0</x:v>
      </x:c>
      <x:c r="H83" s="11" t="n">
        <x:f>SUM('Upper'!G83,'Lower'!G83,'Central'!G83,'External'!G83)</x:f>
        <x:v>0</x:v>
      </x:c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</x:row>
    <x:row r="84" ht="34" customHeight="1">
      <x:c r="A84" s="11" t="str">
        <x:v>NS-004</x:v>
      </x:c>
      <x:c r="B84" s="11" t="str">
        <x:v>PART_SELECTION_HOLD</x:v>
      </x:c>
      <x:c r="C84" s="11" t="n">
        <x:f>'Upper'!E84</x:f>
        <x:v>1</x:v>
      </x:c>
      <x:c r="D84" s="11" t="n">
        <x:f>'Lower'!E84</x:f>
        <x:v>1</x:v>
      </x:c>
      <x:c r="E84" s="11" t="n">
        <x:f>'Central'!E84</x:f>
        <x:v>0</x:v>
      </x:c>
      <x:c r="F84" s="11" t="n">
        <x:f>'External'!E84</x:f>
        <x:v>0</x:v>
      </x:c>
      <x:c r="G84" s="11" t="n">
        <x:f>SUM(C84:F84)</x:f>
        <x:v>2</x:v>
      </x:c>
      <x:c r="H84" s="11" t="n">
        <x:f>SUM('Upper'!G84,'Lower'!G84,'Central'!G84,'External'!G84)</x:f>
        <x:v>4</x:v>
      </x:c>
      <x:c r="I84" s="9"/>
      <x:c r="J84" s="9"/>
      <x:c r="K84" s="9"/>
      <x:c r="L84" s="9"/>
      <x:c r="M84" s="9"/>
      <x:c r="N84" s="9"/>
      <x:c r="O84" s="9"/>
      <x:c r="P84" s="9"/>
      <x:c r="Q84" s="9"/>
      <x:c r="R84" s="9"/>
      <x:c r="S84" s="9"/>
      <x:c r="T84" s="9"/>
      <x:c r="U84" s="9"/>
      <x:c r="V84" s="9"/>
    </x:row>
    <x:row r="85" ht="34" customHeight="1">
      <x:c r="A85" s="11" t="str">
        <x:v>H-001</x:v>
      </x:c>
      <x:c r="B85" s="11" t="str">
        <x:v>STUSB4500LQTR</x:v>
      </x:c>
      <x:c r="C85" s="11" t="n">
        <x:f>'Upper'!E85</x:f>
        <x:v>0</x:v>
      </x:c>
      <x:c r="D85" s="11" t="n">
        <x:f>'Lower'!E85</x:f>
        <x:v>0</x:v>
      </x:c>
      <x:c r="E85" s="11" t="n">
        <x:f>'Central'!E85</x:f>
        <x:v>1</x:v>
      </x:c>
      <x:c r="F85" s="11" t="n">
        <x:f>'External'!E85</x:f>
        <x:v>0</x:v>
      </x:c>
      <x:c r="G85" s="11" t="n">
        <x:f>SUM(C85:F85)</x:f>
        <x:v>1</x:v>
      </x:c>
      <x:c r="H85" s="11" t="n">
        <x:f>SUM('Upper'!G85,'Lower'!G85,'Central'!G85,'External'!G85)</x:f>
        <x:v>2</x:v>
      </x:c>
      <x:c r="I85" s="9"/>
      <x:c r="J85" s="9"/>
      <x:c r="K85" s="9"/>
      <x:c r="L85" s="9"/>
      <x:c r="M85" s="9"/>
      <x:c r="N85" s="9"/>
      <x:c r="O85" s="9"/>
      <x:c r="P85" s="9"/>
      <x:c r="Q85" s="9"/>
      <x:c r="R85" s="9"/>
      <x:c r="S85" s="9"/>
      <x:c r="T85" s="9"/>
      <x:c r="U85" s="9"/>
      <x:c r="V85" s="9"/>
    </x:row>
    <x:row r="86" ht="34" customHeight="1">
      <x:c r="A86" s="11" t="str">
        <x:v>H-002</x:v>
      </x:c>
      <x:c r="B86" s="11" t="str">
        <x:v>TYPE_C_RECEPTACLE_MPN_TBD</x:v>
      </x:c>
      <x:c r="C86" s="11" t="n">
        <x:f>'Upper'!E86</x:f>
        <x:v>0</x:v>
      </x:c>
      <x:c r="D86" s="11" t="n">
        <x:f>'Lower'!E86</x:f>
        <x:v>0</x:v>
      </x:c>
      <x:c r="E86" s="11" t="n">
        <x:f>'Central'!E86</x:f>
        <x:v>1</x:v>
      </x:c>
      <x:c r="F86" s="11" t="n">
        <x:f>'External'!E86</x:f>
        <x:v>0</x:v>
      </x:c>
      <x:c r="G86" s="11" t="n">
        <x:f>SUM(C86:F86)</x:f>
        <x:v>1</x:v>
      </x:c>
      <x:c r="H86" s="11" t="n">
        <x:f>SUM('Upper'!G86,'Lower'!G86,'Central'!G86,'External'!G86)</x:f>
        <x:v>2</x:v>
      </x:c>
      <x:c r="I86" s="9"/>
      <x:c r="J86" s="9"/>
      <x:c r="K86" s="9"/>
      <x:c r="L86" s="9"/>
      <x:c r="M86" s="9"/>
      <x:c r="N86" s="9"/>
      <x:c r="O86" s="9"/>
      <x:c r="P86" s="9"/>
      <x:c r="Q86" s="9"/>
      <x:c r="R86" s="9"/>
      <x:c r="S86" s="9"/>
      <x:c r="T86" s="9"/>
      <x:c r="U86" s="9"/>
      <x:c r="V86" s="9"/>
    </x:row>
    <x:row r="87" ht="34" customHeight="1">
      <x:c r="A87" s="11" t="str">
        <x:v>H-003</x:v>
      </x:c>
      <x:c r="B87" s="11" t="str">
        <x:v>PJ-002BH</x:v>
      </x:c>
      <x:c r="C87" s="11" t="n">
        <x:f>'Upper'!E87</x:f>
        <x:v>1</x:v>
      </x:c>
      <x:c r="D87" s="11" t="n">
        <x:f>'Lower'!E87</x:f>
        <x:v>1</x:v>
      </x:c>
      <x:c r="E87" s="11" t="n">
        <x:f>'Central'!E87</x:f>
        <x:v>0</x:v>
      </x:c>
      <x:c r="F87" s="11" t="n">
        <x:f>'External'!E87</x:f>
        <x:v>0</x:v>
      </x:c>
      <x:c r="G87" s="11" t="n">
        <x:f>SUM(C87:F87)</x:f>
        <x:v>2</x:v>
      </x:c>
      <x:c r="H87" s="11" t="n">
        <x:f>SUM('Upper'!G87,'Lower'!G87,'Central'!G87,'External'!G87)</x:f>
        <x:v>4</x:v>
      </x:c>
      <x:c r="I87" s="9"/>
      <x:c r="J87" s="9"/>
      <x:c r="K87" s="9"/>
      <x:c r="L87" s="9"/>
      <x:c r="M87" s="9"/>
      <x:c r="N87" s="9"/>
      <x:c r="O87" s="9"/>
      <x:c r="P87" s="9"/>
      <x:c r="Q87" s="9"/>
      <x:c r="R87" s="9"/>
      <x:c r="S87" s="9"/>
      <x:c r="T87" s="9"/>
      <x:c r="U87" s="9"/>
      <x:c r="V87" s="9"/>
    </x:row>
    <x:row r="88" ht="34" customHeight="1">
      <x:c r="A88" s="11" t="str">
        <x:v>H-004</x:v>
      </x:c>
      <x:c r="B88" s="11" t="str">
        <x:v>TPS26631RGER</x:v>
      </x:c>
      <x:c r="C88" s="11" t="n">
        <x:f>'Upper'!E88</x:f>
        <x:v>1</x:v>
      </x:c>
      <x:c r="D88" s="11" t="n">
        <x:f>'Lower'!E88</x:f>
        <x:v>1</x:v>
      </x:c>
      <x:c r="E88" s="11" t="n">
        <x:f>'Central'!E88</x:f>
        <x:v>0</x:v>
      </x:c>
      <x:c r="F88" s="11" t="n">
        <x:f>'External'!E88</x:f>
        <x:v>0</x:v>
      </x:c>
      <x:c r="G88" s="11" t="n">
        <x:f>SUM(C88:F88)</x:f>
        <x:v>2</x:v>
      </x:c>
      <x:c r="H88" s="11" t="n">
        <x:f>SUM('Upper'!G88,'Lower'!G88,'Central'!G88,'External'!G88)</x:f>
        <x:v>4</x:v>
      </x:c>
      <x:c r="I88" s="9"/>
      <x:c r="J88" s="9"/>
      <x:c r="K88" s="9"/>
      <x:c r="L88" s="9"/>
      <x:c r="M88" s="9"/>
      <x:c r="N88" s="9"/>
      <x:c r="O88" s="9"/>
      <x:c r="P88" s="9"/>
      <x:c r="Q88" s="9"/>
      <x:c r="R88" s="9"/>
      <x:c r="S88" s="9"/>
      <x:c r="T88" s="9"/>
      <x:c r="U88" s="9"/>
      <x:c r="V88" s="9"/>
    </x:row>
    <x:row r="89" ht="34" customHeight="1">
      <x:c r="A89" s="11" t="str">
        <x:v>H-005</x:v>
      </x:c>
      <x:c r="B89" s="11" t="str">
        <x:v>TCA9548APWR</x:v>
      </x:c>
      <x:c r="C89" s="11" t="n">
        <x:f>'Upper'!E89</x:f>
        <x:v>0</x:v>
      </x:c>
      <x:c r="D89" s="11" t="n">
        <x:f>'Lower'!E89</x:f>
        <x:v>0</x:v>
      </x:c>
      <x:c r="E89" s="11" t="n">
        <x:f>'Central'!E89</x:f>
        <x:v>1</x:v>
      </x:c>
      <x:c r="F89" s="11" t="n">
        <x:f>'External'!E89</x:f>
        <x:v>0</x:v>
      </x:c>
      <x:c r="G89" s="11" t="n">
        <x:f>SUM(C89:F89)</x:f>
        <x:v>1</x:v>
      </x:c>
      <x:c r="H89" s="11" t="n">
        <x:f>SUM('Upper'!G89,'Lower'!G89,'Central'!G89,'External'!G89)</x:f>
        <x:v>2</x:v>
      </x:c>
      <x:c r="I89" s="9"/>
      <x:c r="J89" s="9"/>
      <x:c r="K89" s="9"/>
      <x:c r="L89" s="9"/>
      <x:c r="M89" s="9"/>
      <x:c r="N89" s="9"/>
      <x:c r="O89" s="9"/>
      <x:c r="P89" s="9"/>
      <x:c r="Q89" s="9"/>
      <x:c r="R89" s="9"/>
      <x:c r="S89" s="9"/>
      <x:c r="T89" s="9"/>
      <x:c r="U89" s="9"/>
      <x:c r="V89" s="9"/>
    </x:row>
    <x:row r="90" ht="34" customHeight="1">
      <x:c r="A90" s="11" t="str">
        <x:v>H-006</x:v>
      </x:c>
      <x:c r="B90" s="11" t="str">
        <x:v>INA226AIDGSR</x:v>
      </x:c>
      <x:c r="C90" s="11" t="n">
        <x:f>'Upper'!E90</x:f>
        <x:v>0</x:v>
      </x:c>
      <x:c r="D90" s="11" t="n">
        <x:f>'Lower'!E90</x:f>
        <x:v>0</x:v>
      </x:c>
      <x:c r="E90" s="11" t="n">
        <x:f>'Central'!E90</x:f>
        <x:v>0</x:v>
      </x:c>
      <x:c r="F90" s="11" t="n">
        <x:f>'External'!E90</x:f>
        <x:v>0</x:v>
      </x:c>
      <x:c r="G90" s="11" t="n">
        <x:f>SUM(C90:F90)</x:f>
        <x:v>0</x:v>
      </x:c>
      <x:c r="H90" s="11" t="n">
        <x:f>SUM('Upper'!G90,'Lower'!G90,'Central'!G90,'External'!G90)</x:f>
        <x:v>0</x:v>
      </x:c>
      <x:c r="I90" s="9"/>
      <x:c r="J90" s="9"/>
      <x:c r="K90" s="9"/>
      <x:c r="L90" s="9"/>
      <x:c r="M90" s="9"/>
      <x:c r="N90" s="9"/>
      <x:c r="O90" s="9"/>
      <x:c r="P90" s="9"/>
      <x:c r="Q90" s="9"/>
      <x:c r="R90" s="9"/>
      <x:c r="S90" s="9"/>
      <x:c r="T90" s="9"/>
      <x:c r="U90" s="9"/>
      <x:c r="V90" s="9"/>
    </x:row>
    <x:row r="91" ht="34" customHeight="1">
      <x:c r="A91" s="11" t="str">
        <x:v>H-007</x:v>
      </x:c>
      <x:c r="B91" s="11" t="str">
        <x:v>TPS3431SDRBR</x:v>
      </x:c>
      <x:c r="C91" s="11" t="n">
        <x:f>'Upper'!E91</x:f>
        <x:v>0</x:v>
      </x:c>
      <x:c r="D91" s="11" t="n">
        <x:f>'Lower'!E91</x:f>
        <x:v>0</x:v>
      </x:c>
      <x:c r="E91" s="11" t="n">
        <x:f>'Central'!E91</x:f>
        <x:v>0</x:v>
      </x:c>
      <x:c r="F91" s="11" t="n">
        <x:f>'External'!E91</x:f>
        <x:v>0</x:v>
      </x:c>
      <x:c r="G91" s="11" t="n">
        <x:f>SUM(C91:F91)</x:f>
        <x:v>0</x:v>
      </x:c>
      <x:c r="H91" s="11" t="n">
        <x:f>SUM('Upper'!G91,'Lower'!G91,'Central'!G91,'External'!G91)</x:f>
        <x:v>0</x:v>
      </x:c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</x:row>
    <x:row r="92" ht="34" customHeight="1">
      <x:c r="A92" s="11" t="str">
        <x:v>H-008</x:v>
      </x:c>
      <x:c r="B92" s="11" t="str">
        <x:v>TPS54202DDCR</x:v>
      </x:c>
      <x:c r="C92" s="11" t="n">
        <x:f>'Upper'!E92</x:f>
        <x:v>0</x:v>
      </x:c>
      <x:c r="D92" s="11" t="n">
        <x:f>'Lower'!E92</x:f>
        <x:v>0</x:v>
      </x:c>
      <x:c r="E92" s="11" t="n">
        <x:f>'Central'!E92</x:f>
        <x:v>0</x:v>
      </x:c>
      <x:c r="F92" s="11" t="n">
        <x:f>'External'!E92</x:f>
        <x:v>0</x:v>
      </x:c>
      <x:c r="G92" s="11" t="n">
        <x:f>SUM(C92:F92)</x:f>
        <x:v>0</x:v>
      </x:c>
      <x:c r="H92" s="11" t="n">
        <x:f>SUM('Upper'!G92,'Lower'!G92,'Central'!G92,'External'!G92)</x:f>
        <x:v>0</x:v>
      </x:c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</x:row>
    <x:row r="93" ht="34" customHeight="1">
      <x:c r="A93" s="11" t="str">
        <x:v>H-009</x:v>
      </x:c>
      <x:c r="B93" s="11" t="str">
        <x:v>BACK_TO_BACK_FET_AND_DRIVER_TBD</x:v>
      </x:c>
      <x:c r="C93" s="11" t="n">
        <x:f>'Upper'!E93</x:f>
        <x:v>1</x:v>
      </x:c>
      <x:c r="D93" s="11" t="n">
        <x:f>'Lower'!E93</x:f>
        <x:v>1</x:v>
      </x:c>
      <x:c r="E93" s="11" t="n">
        <x:f>'Central'!E93</x:f>
        <x:v>0</x:v>
      </x:c>
      <x:c r="F93" s="11" t="n">
        <x:f>'External'!E93</x:f>
        <x:v>0</x:v>
      </x:c>
      <x:c r="G93" s="11" t="n">
        <x:f>SUM(C93:F93)</x:f>
        <x:v>2</x:v>
      </x:c>
      <x:c r="H93" s="11" t="n">
        <x:f>SUM('Upper'!G93,'Lower'!G93,'Central'!G93,'External'!G93)</x:f>
        <x:v>4</x:v>
      </x:c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</x:row>
    <x:row r="94" ht="34" customHeight="1">
      <x:c r="A94" s="11" t="str">
        <x:v>H-010</x:v>
      </x:c>
      <x:c r="B94" s="11" t="str">
        <x:v>TVS_FUSE_SET_TBD</x:v>
      </x:c>
      <x:c r="C94" s="11" t="n">
        <x:f>'Upper'!E94</x:f>
        <x:v>1</x:v>
      </x:c>
      <x:c r="D94" s="11" t="n">
        <x:f>'Lower'!E94</x:f>
        <x:v>1</x:v>
      </x:c>
      <x:c r="E94" s="11" t="n">
        <x:f>'Central'!E94</x:f>
        <x:v>0</x:v>
      </x:c>
      <x:c r="F94" s="11" t="n">
        <x:f>'External'!E94</x:f>
        <x:v>0</x:v>
      </x:c>
      <x:c r="G94" s="11" t="n">
        <x:f>SUM(C94:F94)</x:f>
        <x:v>2</x:v>
      </x:c>
      <x:c r="H94" s="11" t="n">
        <x:f>SUM('Upper'!G94,'Lower'!G94,'Central'!G94,'External'!G94)</x:f>
        <x:v>4</x:v>
      </x:c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9"/>
      <x:c r="U94" s="9"/>
      <x:c r="V94" s="9"/>
    </x:row>
    <x:row r="95" ht="34" customHeight="1">
      <x:c r="A95" s="11" t="str">
        <x:v>H-011</x:v>
      </x:c>
      <x:c r="B95" s="11" t="str">
        <x:v>HOTSPOT_COMPARATOR_LATCH_REARM_TBD</x:v>
      </x:c>
      <x:c r="C95" s="11" t="n">
        <x:f>'Upper'!E95</x:f>
        <x:v>1</x:v>
      </x:c>
      <x:c r="D95" s="11" t="n">
        <x:f>'Lower'!E95</x:f>
        <x:v>1</x:v>
      </x:c>
      <x:c r="E95" s="11" t="n">
        <x:f>'Central'!E95</x:f>
        <x:v>0</x:v>
      </x:c>
      <x:c r="F95" s="11" t="n">
        <x:f>'External'!E95</x:f>
        <x:v>0</x:v>
      </x:c>
      <x:c r="G95" s="11" t="n">
        <x:f>SUM(C95:F95)</x:f>
        <x:v>2</x:v>
      </x:c>
      <x:c r="H95" s="11" t="n">
        <x:f>SUM('Upper'!G95,'Lower'!G95,'Central'!G95,'External'!G95)</x:f>
        <x:v>4</x:v>
      </x:c>
      <x:c r="I95" s="9"/>
      <x:c r="J95" s="9"/>
      <x:c r="K95" s="9"/>
      <x:c r="L95" s="9"/>
      <x:c r="M95" s="9"/>
      <x:c r="N95" s="9"/>
      <x:c r="O95" s="9"/>
      <x:c r="P95" s="9"/>
      <x:c r="Q95" s="9"/>
      <x:c r="R95" s="9"/>
      <x:c r="S95" s="9"/>
      <x:c r="T95" s="9"/>
      <x:c r="U95" s="9"/>
      <x:c r="V95" s="9"/>
    </x:row>
    <x:row r="96" ht="34" customHeight="1">
      <x:c r="A96" s="11" t="str">
        <x:v>H-012</x:v>
      </x:c>
      <x:c r="B96" s="11" t="str">
        <x:v>CENTRAL_USB_EFUSE_BUCKBOOST_TBD</x:v>
      </x:c>
      <x:c r="C96" s="11" t="n">
        <x:f>'Upper'!E96</x:f>
        <x:v>0</x:v>
      </x:c>
      <x:c r="D96" s="11" t="n">
        <x:f>'Lower'!E96</x:f>
        <x:v>0</x:v>
      </x:c>
      <x:c r="E96" s="11" t="n">
        <x:f>'Central'!E96</x:f>
        <x:v>1</x:v>
      </x:c>
      <x:c r="F96" s="11" t="n">
        <x:f>'External'!E96</x:f>
        <x:v>0</x:v>
      </x:c>
      <x:c r="G96" s="11" t="n">
        <x:f>SUM(C96:F96)</x:f>
        <x:v>1</x:v>
      </x:c>
      <x:c r="H96" s="11" t="n">
        <x:f>SUM('Upper'!G96,'Lower'!G96,'Central'!G96,'External'!G96)</x:f>
        <x:v>2</x:v>
      </x:c>
      <x:c r="I96" s="9"/>
      <x:c r="J96" s="9"/>
      <x:c r="K96" s="9"/>
      <x:c r="L96" s="9"/>
      <x:c r="M96" s="9"/>
      <x:c r="N96" s="9"/>
      <x:c r="O96" s="9"/>
      <x:c r="P96" s="9"/>
      <x:c r="Q96" s="9"/>
      <x:c r="R96" s="9"/>
      <x:c r="S96" s="9"/>
      <x:c r="T96" s="9"/>
      <x:c r="U96" s="9"/>
      <x:c r="V96" s="9"/>
    </x:row>
    <x:row r="97" ht="34" customHeight="1">
      <x:c r="A97" s="11" t="str">
        <x:v>H-013</x:v>
      </x:c>
      <x:c r="B97" s="11" t="str">
        <x:v>IOFF_BUFFER_SET_TBD</x:v>
      </x:c>
      <x:c r="C97" s="11" t="n">
        <x:f>'Upper'!E97</x:f>
        <x:v>1</x:v>
      </x:c>
      <x:c r="D97" s="11" t="n">
        <x:f>'Lower'!E97</x:f>
        <x:v>1</x:v>
      </x:c>
      <x:c r="E97" s="11" t="n">
        <x:f>'Central'!E97</x:f>
        <x:v>1</x:v>
      </x:c>
      <x:c r="F97" s="11" t="n">
        <x:f>'External'!E97</x:f>
        <x:v>0</x:v>
      </x:c>
      <x:c r="G97" s="11" t="n">
        <x:f>SUM(C97:F97)</x:f>
        <x:v>3</x:v>
      </x:c>
      <x:c r="H97" s="11" t="n">
        <x:f>SUM('Upper'!G97,'Lower'!G97,'Central'!G97,'External'!G97)</x:f>
        <x:v>6</x:v>
      </x:c>
      <x:c r="I97" s="9"/>
      <x:c r="J97" s="9"/>
      <x:c r="K97" s="9"/>
      <x:c r="L97" s="9"/>
      <x:c r="M97" s="9"/>
      <x:c r="N97" s="9"/>
      <x:c r="O97" s="9"/>
      <x:c r="P97" s="9"/>
      <x:c r="Q97" s="9"/>
      <x:c r="R97" s="9"/>
      <x:c r="S97" s="9"/>
      <x:c r="T97" s="9"/>
      <x:c r="U97" s="9"/>
      <x:c r="V97" s="9"/>
    </x:row>
    <x:row r="98" ht="34" customHeight="1">
      <x:c r="A98" s="11" t="str">
        <x:v>H-014</x:v>
      </x:c>
      <x:c r="B98" s="11" t="str">
        <x:v>NC_ESTOP_MANUAL_REARM_TBD</x:v>
      </x:c>
      <x:c r="C98" s="11" t="n">
        <x:f>'Upper'!E98</x:f>
        <x:v>0</x:v>
      </x:c>
      <x:c r="D98" s="11" t="n">
        <x:f>'Lower'!E98</x:f>
        <x:v>0</x:v>
      </x:c>
      <x:c r="E98" s="11" t="n">
        <x:f>'Central'!E98</x:f>
        <x:v>0</x:v>
      </x:c>
      <x:c r="F98" s="11" t="n">
        <x:f>'External'!E98</x:f>
        <x:v>1</x:v>
      </x:c>
      <x:c r="G98" s="11" t="n">
        <x:f>SUM(C98:F98)</x:f>
        <x:v>1</x:v>
      </x:c>
      <x:c r="H98" s="11" t="n">
        <x:f>SUM('Upper'!G98,'Lower'!G98,'Central'!G98,'External'!G98)</x:f>
        <x:v>2</x:v>
      </x:c>
      <x:c r="I98" s="9"/>
      <x:c r="J98" s="9"/>
      <x:c r="K98" s="9"/>
      <x:c r="L98" s="9"/>
      <x:c r="M98" s="9"/>
      <x:c r="N98" s="9"/>
      <x:c r="O98" s="9"/>
      <x:c r="P98" s="9"/>
      <x:c r="Q98" s="9"/>
      <x:c r="R98" s="9"/>
      <x:c r="S98" s="9"/>
      <x:c r="T98" s="9"/>
      <x:c r="U98" s="9"/>
      <x:c r="V98" s="9"/>
    </x:row>
    <x:row r="99" ht="34" customHeight="1">
      <x:c r="A99" s="11" t="str">
        <x:v>H-015</x:v>
      </x:c>
      <x:c r="B99" s="11" t="str">
        <x:v>SHIELDED_RX_HARNESS_TBD</x:v>
      </x:c>
      <x:c r="C99" s="11" t="n">
        <x:f>'Upper'!E99</x:f>
        <x:v>0</x:v>
      </x:c>
      <x:c r="D99" s="11" t="n">
        <x:f>'Lower'!E99</x:f>
        <x:v>0</x:v>
      </x:c>
      <x:c r="E99" s="11" t="n">
        <x:f>'Central'!E99</x:f>
        <x:v>0</x:v>
      </x:c>
      <x:c r="F99" s="11" t="n">
        <x:f>'External'!E99</x:f>
        <x:v>8</x:v>
      </x:c>
      <x:c r="G99" s="11" t="n">
        <x:f>SUM(C99:F99)</x:f>
        <x:v>8</x:v>
      </x:c>
      <x:c r="H99" s="11" t="n">
        <x:f>SUM('Upper'!G99,'Lower'!G99,'Central'!G99,'External'!G99)</x:f>
        <x:v>9</x:v>
      </x:c>
      <x:c r="I99" s="9"/>
      <x:c r="J99" s="9"/>
      <x:c r="K99" s="9"/>
      <x:c r="L99" s="9"/>
      <x:c r="M99" s="9"/>
      <x:c r="N99" s="9"/>
      <x:c r="O99" s="9"/>
      <x:c r="P99" s="9"/>
      <x:c r="Q99" s="9"/>
      <x:c r="R99" s="9"/>
      <x:c r="S99" s="9"/>
      <x:c r="T99" s="9"/>
      <x:c r="U99" s="9"/>
      <x:c r="V99" s="9"/>
    </x:row>
    <x:row r="100" ht="34" customHeight="1">
      <x:c r="A100" s="11" t="str">
        <x:v>H-016</x:v>
      </x:c>
      <x:c r="B100" s="11" t="str">
        <x:v>KEYED_SIGNAL_HARNESS_TBD</x:v>
      </x:c>
      <x:c r="C100" s="11" t="n">
        <x:f>'Upper'!E100</x:f>
        <x:v>0</x:v>
      </x:c>
      <x:c r="D100" s="11" t="n">
        <x:f>'Lower'!E100</x:f>
        <x:v>0</x:v>
      </x:c>
      <x:c r="E100" s="11" t="n">
        <x:f>'Central'!E100</x:f>
        <x:v>0</x:v>
      </x:c>
      <x:c r="F100" s="11" t="n">
        <x:f>'External'!E100</x:f>
        <x:v>2</x:v>
      </x:c>
      <x:c r="G100" s="11" t="n">
        <x:f>SUM(C100:F100)</x:f>
        <x:v>2</x:v>
      </x:c>
      <x:c r="H100" s="11" t="n">
        <x:f>SUM('Upper'!G100,'Lower'!G100,'Central'!G100,'External'!G100)</x:f>
        <x:v>3</x:v>
      </x:c>
      <x:c r="I100" s="9"/>
      <x:c r="J100" s="9"/>
      <x:c r="K100" s="9"/>
      <x:c r="L100" s="9"/>
      <x:c r="M100" s="9"/>
      <x:c r="N100" s="9"/>
      <x:c r="O100" s="9"/>
      <x:c r="P100" s="9"/>
      <x:c r="Q100" s="9"/>
      <x:c r="R100" s="9"/>
      <x:c r="S100" s="9"/>
      <x:c r="T100" s="9"/>
      <x:c r="U100" s="9"/>
      <x:c r="V100" s="9"/>
    </x:row>
    <x:row r="101" ht="34" customHeight="1">
      <x:c r="A101" s="11" t="str">
        <x:v>H-017</x:v>
      </x:c>
      <x:c r="B101" s="11" t="str">
        <x:v>GST60A12-P1M</x:v>
      </x:c>
      <x:c r="C101" s="11" t="n">
        <x:f>'Upper'!E101</x:f>
        <x:v>0</x:v>
      </x:c>
      <x:c r="D101" s="11" t="n">
        <x:f>'Lower'!E101</x:f>
        <x:v>0</x:v>
      </x:c>
      <x:c r="E101" s="11" t="n">
        <x:f>'Central'!E101</x:f>
        <x:v>0</x:v>
      </x:c>
      <x:c r="F101" s="11" t="n">
        <x:f>'External'!E101</x:f>
        <x:v>2</x:v>
      </x:c>
      <x:c r="G101" s="11" t="n">
        <x:f>SUM(C101:F101)</x:f>
        <x:v>2</x:v>
      </x:c>
      <x:c r="H101" s="11" t="n">
        <x:f>SUM('Upper'!G101,'Lower'!G101,'Central'!G101,'External'!G101)</x:f>
        <x:v>3</x:v>
      </x:c>
      <x:c r="I101" s="9"/>
      <x:c r="J101" s="9"/>
      <x:c r="K101" s="9"/>
      <x:c r="L101" s="9"/>
      <x:c r="M101" s="9"/>
      <x:c r="N101" s="9"/>
      <x:c r="O101" s="9"/>
      <x:c r="P101" s="9"/>
      <x:c r="Q101" s="9"/>
      <x:c r="R101" s="9"/>
      <x:c r="S101" s="9"/>
      <x:c r="T101" s="9"/>
      <x:c r="U101" s="9"/>
      <x:c r="V101" s="9"/>
    </x:row>
    <x:row r="102" ht="34" customHeight="1">
      <x:c r="A102" s="11" t="str">
        <x:v>H-018</x:v>
      </x:c>
      <x:c r="B102" s="11" t="str">
        <x:v>GST40A12-P1M</x:v>
      </x:c>
      <x:c r="C102" s="11" t="n">
        <x:f>'Upper'!E102</x:f>
        <x:v>0</x:v>
      </x:c>
      <x:c r="D102" s="11" t="n">
        <x:f>'Lower'!E102</x:f>
        <x:v>0</x:v>
      </x:c>
      <x:c r="E102" s="11" t="n">
        <x:f>'Central'!E102</x:f>
        <x:v>0</x:v>
      </x:c>
      <x:c r="F102" s="11" t="n">
        <x:f>'External'!E102</x:f>
        <x:v>0</x:v>
      </x:c>
      <x:c r="G102" s="11" t="n">
        <x:f>SUM(C102:F102)</x:f>
        <x:v>0</x:v>
      </x:c>
      <x:c r="H102" s="11" t="n">
        <x:f>SUM('Upper'!G102,'Lower'!G102,'Central'!G102,'External'!G102)</x:f>
        <x:v>0</x:v>
      </x:c>
      <x:c r="I102" s="9"/>
      <x:c r="J102" s="9"/>
      <x:c r="K102" s="9"/>
      <x:c r="L102" s="9"/>
      <x:c r="M102" s="9"/>
      <x:c r="N102" s="9"/>
      <x:c r="O102" s="9"/>
      <x:c r="P102" s="9"/>
      <x:c r="Q102" s="9"/>
      <x:c r="R102" s="9"/>
      <x:c r="S102" s="9"/>
      <x:c r="T102" s="9"/>
      <x:c r="U102" s="9"/>
      <x:c r="V102" s="9"/>
    </x:row>
    <x:row r="103" ht="34" customHeight="1">
      <x:c r="A103" s="11" t="str">
        <x:v>H-019</x:v>
      </x:c>
      <x:c r="B103" s="11" t="str">
        <x:v>USB_C_5V_3A_SOURCE_TBD</x:v>
      </x:c>
      <x:c r="C103" s="11" t="n">
        <x:f>'Upper'!E103</x:f>
        <x:v>0</x:v>
      </x:c>
      <x:c r="D103" s="11" t="n">
        <x:f>'Lower'!E103</x:f>
        <x:v>0</x:v>
      </x:c>
      <x:c r="E103" s="11" t="n">
        <x:f>'Central'!E103</x:f>
        <x:v>0</x:v>
      </x:c>
      <x:c r="F103" s="11" t="n">
        <x:f>'External'!E103</x:f>
        <x:v>1</x:v>
      </x:c>
      <x:c r="G103" s="11" t="n">
        <x:f>SUM(C103:F103)</x:f>
        <x:v>1</x:v>
      </x:c>
      <x:c r="H103" s="11" t="n">
        <x:f>SUM('Upper'!G103,'Lower'!G103,'Central'!G103,'External'!G103)</x:f>
        <x:v>2</x:v>
      </x:c>
      <x:c r="I103" s="9"/>
      <x:c r="J103" s="9"/>
      <x:c r="K103" s="9"/>
      <x:c r="L103" s="9"/>
      <x:c r="M103" s="9"/>
      <x:c r="N103" s="9"/>
      <x:c r="O103" s="9"/>
      <x:c r="P103" s="9"/>
      <x:c r="Q103" s="9"/>
      <x:c r="R103" s="9"/>
      <x:c r="S103" s="9"/>
      <x:c r="T103" s="9"/>
      <x:c r="U103" s="9"/>
      <x:c r="V103" s="9"/>
    </x:row>
    <x:row r="104" ht="34" customHeight="1">
      <x:c r="A104" s="11" t="str">
        <x:v>H-020</x:v>
      </x:c>
      <x:c r="B104" s="11" t="str">
        <x:v>DRIVER_INPUT_PULLDOWN_TBD</x:v>
      </x:c>
      <x:c r="C104" s="11" t="n">
        <x:f>'Upper'!E104</x:f>
        <x:v>64</x:v>
      </x:c>
      <x:c r="D104" s="11" t="n">
        <x:f>'Lower'!E104</x:f>
        <x:v>64</x:v>
      </x:c>
      <x:c r="E104" s="11" t="n">
        <x:f>'Central'!E104</x:f>
        <x:v>0</x:v>
      </x:c>
      <x:c r="F104" s="11" t="n">
        <x:f>'External'!E104</x:f>
        <x:v>0</x:v>
      </x:c>
      <x:c r="G104" s="11" t="n">
        <x:f>SUM(C104:F104)</x:f>
        <x:v>128</x:v>
      </x:c>
      <x:c r="H104" s="11" t="n">
        <x:f>SUM('Upper'!G104,'Lower'!G104,'Central'!G104,'External'!G104)</x:f>
        <x:v>142</x:v>
      </x:c>
      <x:c r="I104" s="9"/>
      <x:c r="J104" s="9"/>
      <x:c r="K104" s="9"/>
      <x:c r="L104" s="9"/>
      <x:c r="M104" s="9"/>
      <x:c r="N104" s="9"/>
      <x:c r="O104" s="9"/>
      <x:c r="P104" s="9"/>
      <x:c r="Q104" s="9"/>
      <x:c r="R104" s="9"/>
      <x:c r="S104" s="9"/>
      <x:c r="T104" s="9"/>
      <x:c r="U104" s="9"/>
      <x:c r="V104" s="9"/>
    </x:row>
    <x:row r="105" ht="34" customHeight="1">
      <x:c r="A105" s="11" t="str">
        <x:v>H-021</x:v>
      </x:c>
      <x:c r="B105" s="11" t="str">
        <x:v>MUX_RESET_SUPERVISOR_TBD</x:v>
      </x:c>
      <x:c r="C105" s="11" t="n">
        <x:f>'Upper'!E105</x:f>
        <x:v>0</x:v>
      </x:c>
      <x:c r="D105" s="11" t="n">
        <x:f>'Lower'!E105</x:f>
        <x:v>0</x:v>
      </x:c>
      <x:c r="E105" s="11" t="n">
        <x:f>'Central'!E105</x:f>
        <x:v>1</x:v>
      </x:c>
      <x:c r="F105" s="11" t="n">
        <x:f>'External'!E105</x:f>
        <x:v>0</x:v>
      </x:c>
      <x:c r="G105" s="11" t="n">
        <x:f>SUM(C105:F105)</x:f>
        <x:v>1</x:v>
      </x:c>
      <x:c r="H105" s="11" t="n">
        <x:f>SUM('Upper'!G105,'Lower'!G105,'Central'!G105,'External'!G105)</x:f>
        <x:v>2</x:v>
      </x:c>
      <x:c r="I105" s="9"/>
      <x:c r="J105" s="9"/>
      <x:c r="K105" s="9"/>
      <x:c r="L105" s="9"/>
      <x:c r="M105" s="9"/>
      <x:c r="N105" s="9"/>
      <x:c r="O105" s="9"/>
      <x:c r="P105" s="9"/>
      <x:c r="Q105" s="9"/>
      <x:c r="R105" s="9"/>
      <x:c r="S105" s="9"/>
      <x:c r="T105" s="9"/>
      <x:c r="U105" s="9"/>
      <x:c r="V105" s="9"/>
    </x:row>
    <x:row r="106">
      <x:c r="A106" s="9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</x:row>
    <x:row r="107">
      <x:c r="A107" s="9" t="str">
        <x:v>合计</x:v>
      </x:c>
      <x:c r="B107" s="9"/>
      <x:c r="C107" s="9" t="n">
        <x:f>SUM(C5:C105)</x:f>
        <x:v>551</x:v>
      </x:c>
      <x:c r="D107" s="9" t="n">
        <x:f>SUM(D5:D105)</x:f>
        <x:v>551</x:v>
      </x:c>
      <x:c r="E107" s="9" t="n">
        <x:f>SUM(E5:E105)</x:f>
        <x:v>83</x:v>
      </x:c>
      <x:c r="F107" s="9" t="n">
        <x:f>SUM(F5:F105)</x:f>
        <x:v>20</x:v>
      </x:c>
      <x:c r="G107" s="9" t="n">
        <x:f>SUM(G5:G105)</x:f>
        <x:v>1205</x:v>
      </x:c>
      <x:c r="H107" s="9" t="n">
        <x:f>SUM(H5:H105)</x:f>
        <x:v>1444</x:v>
      </x:c>
      <x:c r="I107" s="9"/>
      <x:c r="J107" s="9"/>
      <x:c r="K107" s="9"/>
      <x:c r="L107" s="9"/>
      <x:c r="M107" s="9"/>
      <x:c r="N107" s="9"/>
      <x:c r="O107" s="9"/>
      <x:c r="P107" s="9"/>
      <x:c r="Q107" s="9"/>
      <x:c r="R107" s="9"/>
      <x:c r="S107" s="9"/>
      <x:c r="T107" s="9"/>
      <x:c r="U107" s="9"/>
      <x:c r="V107" s="9"/>
    </x:row>
  </x:sheetData>
  <x:pageMargins left="0.7" right="0.7" top="0.75" bottom="0.75" header="0.3" footer="0.3"/>
  <x:tableParts count="1">
    <x:tablePart xmlns:r="http://schemas.openxmlformats.org/officeDocument/2006/relationships" r:id="R54d7f762ff9f447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36" hidden="0" customWidth="1"/>
    <x:col min="3" max="3" width="46" hidden="0" customWidth="1"/>
    <x:col min="4" max="4" width="23" hidden="0" customWidth="1"/>
    <x:col min="5" max="5" width="10" hidden="0" customWidth="1"/>
    <x:col min="6" max="6" width="10" hidden="0" customWidth="1"/>
    <x:col min="7" max="7" width="11" hidden="0" customWidth="1"/>
    <x:col min="8" max="8" width="62" hidden="0" customWidth="1"/>
    <x:col min="9" max="9" width="50" hidden="0" customWidth="1"/>
    <x:col min="10" max="10" width="58" hidden="0" customWidth="1"/>
    <x:col min="11" max="11" width="16" hidden="0" customWidth="1"/>
    <x:col min="12" max="12" width="32" hidden="0" customWidth="1"/>
    <x:col min="13" max="13" width="76" hidden="0" customWidth="1"/>
    <x:col min="14" max="14" width="34" hidden="0" customWidth="1"/>
    <x:col min="15" max="15" width="28" hidden="0" customWidth="1"/>
    <x:col min="16" max="16" width="16" hidden="0" customWidth="1"/>
    <x:col min="17" max="17" width="53" hidden="0" customWidth="1"/>
    <x:col min="18" max="18" width="65" hidden="0" customWidth="1"/>
    <x:col min="19" max="19" width="105" hidden="0" customWidth="1"/>
    <x:col min="20" max="20" width="16" hidden="0" customWidth="1"/>
    <x:col min="21" max="21" width="32" hidden="0" customWidth="1"/>
    <x:col min="22" max="22" width="20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</x:row>
    <x:row r="2">
      <x:c r="A2" s="12" t="str">
        <x:v>Central v5 四源供电工作 BOM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</x:row>
    <x:row r="3">
      <x:c r="A3" s="9" t="str">
        <x:v>采购 HOLD；DNP 行装机数为0；聚合无源件需分解定料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</x:row>
    <x:row r="4" ht="32" customHeight="1">
      <x:c r="A4" s="10" t="str">
        <x:v>ID</x:v>
      </x:c>
      <x:c r="B4" s="10" t="str">
        <x:v>器件名称</x:v>
      </x:c>
      <x:c r="C4" s="10" t="str">
        <x:v>完整MPN / 待定标记</x:v>
      </x:c>
      <x:c r="D4" s="10" t="str">
        <x:v>原厂</x:v>
      </x:c>
      <x:c r="E4" s="10" t="str">
        <x:v>装机数</x:v>
      </x:c>
      <x:c r="F4" s="10" t="str">
        <x:v>备件率</x:v>
      </x:c>
      <x:c r="G4" s="10" t="str">
        <x:v>计划数量</x:v>
      </x:c>
      <x:c r="H4" s="10" t="str">
        <x:v>位号</x:v>
      </x:c>
      <x:c r="I4" s="10" t="str">
        <x:v>封装 / Pin1 / EP</x:v>
      </x:c>
      <x:c r="J4" s="10" t="str">
        <x:v>主要额定 / 用途</x:v>
      </x:c>
      <x:c r="K4" s="10" t="str">
        <x:v>电流 A</x:v>
      </x:c>
      <x:c r="L4" s="10" t="str">
        <x:v>供电域</x:v>
      </x:c>
      <x:c r="M4" s="10" t="str">
        <x:v>原厂资料链接</x:v>
      </x:c>
      <x:c r="N4" s="10" t="str">
        <x:v>国内供应商 / 替代</x:v>
      </x:c>
      <x:c r="O4" s="10" t="str">
        <x:v>Datasheet版本</x:v>
      </x:c>
      <x:c r="P4" s="10" t="str">
        <x:v>检索日期</x:v>
      </x:c>
      <x:c r="Q4" s="10" t="str">
        <x:v>器件筛选状态</x:v>
      </x:c>
      <x:c r="R4" s="10" t="str">
        <x:v>批准来源</x:v>
      </x:c>
      <x:c r="S4" s="10" t="str">
        <x:v>未知及证明路径</x:v>
      </x:c>
      <x:c r="T4" s="10" t="str">
        <x:v>单价 CNY</x:v>
      </x:c>
      <x:c r="U4" s="10" t="str">
        <x:v>装配侧</x:v>
      </x:c>
      <x:c r="V4" s="10" t="str">
        <x:v>采购状态</x:v>
      </x:c>
    </x:row>
    <x:row r="5" ht="64" customHeight="1">
      <x:c r="A5" s="11" t="str">
        <x:v>B-001</x:v>
      </x:c>
      <x:c r="B5" s="11" t="str">
        <x:v>40kHz 超声发射换能器</x:v>
      </x:c>
      <x:c r="C5" s="11" t="str">
        <x:v>NU40C10T-2_ORDER_CODE_PENDING_VENDOR</x:v>
      </x:c>
      <x:c r="D5" s="11" t="str">
        <x:v>UNKNOWN_VERIFY</x:v>
      </x:c>
      <x:c r="E5" s="13" t="n">
        <x:v>0</x:v>
      </x:c>
      <x:c r="F5" s="14" t="n">
        <x:v>0.1</x:v>
      </x:c>
      <x:c r="G5" s="13" t="n">
        <x:f>ROUNDUP(E5*(1+F5),0)</x:f>
        <x:v>0</x:v>
      </x:c>
      <x:c r="H5" s="11" t="str"/>
      <x:c r="I5" s="11" t="str">
        <x:v>THT2; body9.8+/-0.5mm; pitch5.0+/-0.5mm; lead0.7+/-0.1mm; Pin1/EP原生库待核</x:v>
      </x:c>
      <x:c r="J5" s="11" t="str">
        <x:v>用户锁定发射器型号；供应商完整 datasheet / 焊脚尺寸尚需核实</x:v>
      </x:c>
      <x:c r="K5" s="11" t="str">
        <x:v>UNKNOWN</x:v>
      </x:c>
      <x:c r="L5" s="11" t="str">
        <x:v>CENTRAL_USB5V / 3V3</x:v>
      </x:c>
      <x:c r="M5" s="11" t="str">
        <x:v>USER_VENDOR_IMAGES_HASHES_IN_VENDOR_PARAMETERS.json</x:v>
      </x:c>
      <x:c r="N5" s="11" t="str">
        <x:v>授权渠道待选；不默认替代</x:v>
      </x:c>
      <x:c r="O5" s="11" t="str">
        <x:v>UNKNOWN_VERIFY</x:v>
      </x:c>
      <x:c r="P5" s="11" t="str">
        <x:v>2026-10-11</x:v>
      </x:c>
      <x:c r="Q5" s="11" t="str">
        <x:v>INHERITED_CANDIDATE_REQUIRES_NATIVE_PIN_REVIEW</x:v>
      </x:c>
      <x:c r="R5" s="11" t="str">
        <x:v>User v5 scope; no procurement permission</x:v>
      </x:c>
      <x:c r="S5" s="11" t="str">
        <x:v>Inherited candidate quantity; netlist/thermal review pending</x:v>
      </x:c>
      <x:c r="T5" s="11" t="str">
        <x:v>UNKNOWN</x:v>
      </x:c>
      <x:c r="U5" s="11" t="str">
        <x:v>背面电子件 / 正面TX RX</x:v>
      </x:c>
      <x:c r="V5" s="11" t="str">
        <x:v>HOLD</x:v>
      </x:c>
    </x:row>
    <x:row r="6" ht="64" customHeight="1">
      <x:c r="A6" s="11" t="str">
        <x:v>B-002</x:v>
      </x:c>
      <x:c r="B6" s="11" t="str">
        <x:v>40kHz 超声接收换能器</x:v>
      </x:c>
      <x:c r="C6" s="11" t="str">
        <x:v>NU40C10R-2_CANDIDATE_EXACT_RX_MPN_HOLD</x:v>
      </x:c>
      <x:c r="D6" s="11" t="str">
        <x:v>UNKNOWN_VERIFY</x:v>
      </x:c>
      <x:c r="E6" s="13" t="n">
        <x:v>0</x:v>
      </x:c>
      <x:c r="F6" s="14" t="n">
        <x:v>0.1</x:v>
      </x:c>
      <x:c r="G6" s="13" t="n">
        <x:f>ROUNDUP(E6*(1+F6),0)</x:f>
        <x:v>0</x:v>
      </x:c>
      <x:c r="H6" s="11" t="str"/>
      <x:c r="I6" s="11" t="str">
        <x:v>THT2_CANDIDATE_VERIFY_RX_MECHANICAL; Pin1/EP原生库待核</x:v>
      </x:c>
      <x:c r="J6" s="11" t="str">
        <x:v>同频匹配接收器；不得擅自把TX当RX</x:v>
      </x:c>
      <x:c r="K6" s="11" t="str">
        <x:v>UNKNOWN</x:v>
      </x:c>
      <x:c r="L6" s="11" t="str">
        <x:v>CENTRAL_USB5V / 3V3</x:v>
      </x:c>
      <x:c r="M6" s="11" t="str">
        <x:v>https://github.com/loverlike1216/SonoField-FPGA/tree/main/v5</x:v>
      </x:c>
      <x:c r="N6" s="11" t="str">
        <x:v>授权渠道待选；不默认替代</x:v>
      </x:c>
      <x:c r="O6" s="11" t="str">
        <x:v>UNKNOWN_VERIFY</x:v>
      </x:c>
      <x:c r="P6" s="11" t="str">
        <x:v>2026-10-11</x:v>
      </x:c>
      <x:c r="Q6" s="11" t="str">
        <x:v>INHERITED_CANDIDATE_REQUIRES_NATIVE_PIN_REVIEW</x:v>
      </x:c>
      <x:c r="R6" s="11" t="str">
        <x:v>User v5 scope; no procurement permission</x:v>
      </x:c>
      <x:c r="S6" s="11" t="str">
        <x:v>Inherited candidate quantity; netlist/thermal review pending</x:v>
      </x:c>
      <x:c r="T6" s="11" t="str">
        <x:v>UNKNOWN</x:v>
      </x:c>
      <x:c r="U6" s="11" t="str">
        <x:v>背面电子件 / 正面TX RX</x:v>
      </x:c>
      <x:c r="V6" s="11" t="str">
        <x:v>HOLD</x:v>
      </x:c>
    </x:row>
    <x:row r="7" ht="64" customHeight="1">
      <x:c r="A7" s="11" t="str">
        <x:v>B-003</x:v>
      </x:c>
      <x:c r="B7" s="11" t="str">
        <x:v>双通道功率驱动器</x:v>
      </x:c>
      <x:c r="C7" s="11" t="str">
        <x:v>TC4427AEOA713</x:v>
      </x:c>
      <x:c r="D7" s="11" t="str">
        <x:v>UNKNOWN_VERIFY</x:v>
      </x:c>
      <x:c r="E7" s="13" t="n">
        <x:v>0</x:v>
      </x:c>
      <x:c r="F7" s="14" t="n">
        <x:v>0.1</x:v>
      </x:c>
      <x:c r="G7" s="13" t="n">
        <x:f>ROUNDUP(E7*(1+F7),0)</x:f>
        <x:v>0</x:v>
      </x:c>
      <x:c r="H7" s="11" t="str"/>
      <x:c r="I7" s="11" t="str">
        <x:v>SOIC-8; Pin1/EP原生库待核</x:v>
      </x:c>
      <x:c r="J7" s="11" t="str">
        <x:v>2输出/芯片；12V首轮限流调试，不是NU40C10T额定电压</x:v>
      </x:c>
      <x:c r="K7" s="11" t="str">
        <x:v>UNKNOWN</x:v>
      </x:c>
      <x:c r="L7" s="11" t="str">
        <x:v>CENTRAL_USB5V / 3V3</x:v>
      </x:c>
      <x:c r="M7" s="11" t="str">
        <x:v>https://www.microchip.com/en-us/product/TC4427A</x:v>
      </x:c>
      <x:c r="N7" s="11" t="str">
        <x:v>授权渠道待选；不默认替代</x:v>
      </x:c>
      <x:c r="O7" s="11" t="str">
        <x:v>UNKNOWN_VERIFY</x:v>
      </x:c>
      <x:c r="P7" s="11" t="str">
        <x:v>2026-10-11</x:v>
      </x:c>
      <x:c r="Q7" s="11" t="str">
        <x:v>INHERITED_CANDIDATE_REQUIRES_NATIVE_PIN_REVIEW</x:v>
      </x:c>
      <x:c r="R7" s="11" t="str">
        <x:v>User v5 scope; no procurement permission</x:v>
      </x:c>
      <x:c r="S7" s="11" t="str">
        <x:v>Inherited candidate quantity; netlist/thermal review pending</x:v>
      </x:c>
      <x:c r="T7" s="11" t="str">
        <x:v>UNKNOWN</x:v>
      </x:c>
      <x:c r="U7" s="11" t="str">
        <x:v>背面电子件 / 正面TX RX</x:v>
      </x:c>
      <x:c r="V7" s="11" t="str">
        <x:v>HOLD</x:v>
      </x:c>
    </x:row>
    <x:row r="8" ht="64" customHeight="1">
      <x:c r="A8" s="11" t="str">
        <x:v>B-004</x:v>
      </x:c>
      <x:c r="B8" s="11" t="str">
        <x:v>8位串入并出寄存器</x:v>
      </x:c>
      <x:c r="C8" s="11" t="str">
        <x:v>SN74LVC595APWR</x:v>
      </x:c>
      <x:c r="D8" s="11" t="str">
        <x:v>UNKNOWN_VERIFY</x:v>
      </x:c>
      <x:c r="E8" s="13" t="n">
        <x:v>0</x:v>
      </x:c>
      <x:c r="F8" s="14" t="n">
        <x:v>0.1</x:v>
      </x:c>
      <x:c r="G8" s="13" t="n">
        <x:f>ROUNDUP(E8*(1+F8),0)</x:f>
        <x:v>0</x:v>
      </x:c>
      <x:c r="H8" s="11" t="str"/>
      <x:c r="I8" s="11" t="str">
        <x:v>TSSOP-16; Pin1/EP原生库待核</x:v>
      </x:c>
      <x:c r="J8" s="11" t="str">
        <x:v>每片4个有效输出；每侧16条独立串行lane</x:v>
      </x:c>
      <x:c r="K8" s="11" t="str">
        <x:v>UNKNOWN</x:v>
      </x:c>
      <x:c r="L8" s="11" t="str">
        <x:v>CENTRAL_USB5V / 3V3</x:v>
      </x:c>
      <x:c r="M8" s="11" t="str">
        <x:v>https://www.ti.com/product/SN74LVC595A</x:v>
      </x:c>
      <x:c r="N8" s="11" t="str">
        <x:v>授权渠道待选；不默认替代</x:v>
      </x:c>
      <x:c r="O8" s="11" t="str">
        <x:v>UNKNOWN_VERIFY</x:v>
      </x:c>
      <x:c r="P8" s="11" t="str">
        <x:v>2026-10-11</x:v>
      </x:c>
      <x:c r="Q8" s="11" t="str">
        <x:v>INHERITED_CANDIDATE_REQUIRES_NATIVE_PIN_REVIEW</x:v>
      </x:c>
      <x:c r="R8" s="11" t="str">
        <x:v>User v5 scope; no procurement permission</x:v>
      </x:c>
      <x:c r="S8" s="11" t="str">
        <x:v>Inherited candidate quantity; netlist/thermal review pending</x:v>
      </x:c>
      <x:c r="T8" s="11" t="str">
        <x:v>UNKNOWN</x:v>
      </x:c>
      <x:c r="U8" s="11" t="str">
        <x:v>背面电子件 / 正面TX RX</x:v>
      </x:c>
      <x:c r="V8" s="11" t="str">
        <x:v>HOLD</x:v>
      </x:c>
    </x:row>
    <x:row r="9" ht="64" customHeight="1">
      <x:c r="A9" s="11" t="str">
        <x:v>B-005</x:v>
      </x:c>
      <x:c r="B9" s="11" t="str">
        <x:v>8位双电源电平转换</x:v>
      </x:c>
      <x:c r="C9" s="11" t="str">
        <x:v>SN74AXC8T245PWR</x:v>
      </x:c>
      <x:c r="D9" s="11" t="str">
        <x:v>UNKNOWN_VERIFY</x:v>
      </x:c>
      <x:c r="E9" s="13" t="n">
        <x:v>2</x:v>
      </x:c>
      <x:c r="F9" s="14" t="n">
        <x:v>0.1</x:v>
      </x:c>
      <x:c r="G9" s="13" t="n">
        <x:f>ROUNDUP(E9*(1+F9),0)</x:f>
        <x:v>3</x:v>
      </x:c>
      <x:c r="H9" s="11" t="str">
        <x:v>CE_B005_001, CE_B005_002</x:v>
      </x:c>
      <x:c r="I9" s="11" t="str">
        <x:v>TSSOP-24; Pin1/EP原生库待核</x:v>
      </x:c>
      <x:c r="J9" s="11" t="str">
        <x:v>VCCA/VCCB均不得大于3.6V；根据VCCO放置与计算数量</x:v>
      </x:c>
      <x:c r="K9" s="11" t="str">
        <x:v>UNKNOWN</x:v>
      </x:c>
      <x:c r="L9" s="11" t="str">
        <x:v>CENTRAL_USB5V / 3V3</x:v>
      </x:c>
      <x:c r="M9" s="11" t="str">
        <x:v>https://www.ti.com/product/SN74AXC8T245</x:v>
      </x:c>
      <x:c r="N9" s="11" t="str">
        <x:v>授权渠道待选；不默认替代</x:v>
      </x:c>
      <x:c r="O9" s="11" t="str">
        <x:v>UNKNOWN_VERIFY</x:v>
      </x:c>
      <x:c r="P9" s="11" t="str">
        <x:v>2026-10-11</x:v>
      </x:c>
      <x:c r="Q9" s="11" t="str">
        <x:v>INHERITED_CANDIDATE_REQUIRES_NATIVE_PIN_REVIEW</x:v>
      </x:c>
      <x:c r="R9" s="11" t="str">
        <x:v>User v5 scope; no procurement permission</x:v>
      </x:c>
      <x:c r="S9" s="11" t="str">
        <x:v>Inherited candidate quantity; netlist/thermal review pending</x:v>
      </x:c>
      <x:c r="T9" s="11" t="str">
        <x:v>UNKNOWN</x:v>
      </x:c>
      <x:c r="U9" s="11" t="str">
        <x:v>背面电子件 / 正面TX RX</x:v>
      </x:c>
      <x:c r="V9" s="11" t="str">
        <x:v>HOLD</x:v>
      </x:c>
    </x:row>
    <x:row r="10" ht="64" customHeight="1">
      <x:c r="A10" s="11" t="str">
        <x:v>B-006</x:v>
      </x:c>
      <x:c r="B10" s="11" t="str">
        <x:v>8路时钟缓冲器</x:v>
      </x:c>
      <x:c r="C10" s="11" t="str">
        <x:v>SN74LVC244APWR</x:v>
      </x:c>
      <x:c r="D10" s="11" t="str">
        <x:v>UNKNOWN_VERIFY</x:v>
      </x:c>
      <x:c r="E10" s="13" t="n">
        <x:v>0</x:v>
      </x:c>
      <x:c r="F10" s="14" t="n">
        <x:v>0.1</x:v>
      </x:c>
      <x:c r="G10" s="13" t="n">
        <x:f>ROUNDUP(E10*(1+F10),0)</x:f>
        <x:v>0</x:v>
      </x:c>
      <x:c r="H10" s="11" t="str"/>
      <x:c r="I10" s="11" t="str">
        <x:v>TSSOP-20; Pin1/EP原生库待核</x:v>
      </x:c>
      <x:c r="J10" s="11" t="str">
        <x:v>每阵列1颗；4路SRCLK+4路RCLK 需负载证明</x:v>
      </x:c>
      <x:c r="K10" s="11" t="str">
        <x:v>UNKNOWN</x:v>
      </x:c>
      <x:c r="L10" s="11" t="str">
        <x:v>CENTRAL_USB5V / 3V3</x:v>
      </x:c>
      <x:c r="M10" s="11" t="str">
        <x:v>https://www.ti.com/product/SN74LVC244A</x:v>
      </x:c>
      <x:c r="N10" s="11" t="str">
        <x:v>授权渠道待选；不默认替代</x:v>
      </x:c>
      <x:c r="O10" s="11" t="str">
        <x:v>UNKNOWN_VERIFY</x:v>
      </x:c>
      <x:c r="P10" s="11" t="str">
        <x:v>2026-10-11</x:v>
      </x:c>
      <x:c r="Q10" s="11" t="str">
        <x:v>INHERITED_CANDIDATE_REQUIRES_NATIVE_PIN_REVIEW</x:v>
      </x:c>
      <x:c r="R10" s="11" t="str">
        <x:v>User v5 scope; no procurement permission</x:v>
      </x:c>
      <x:c r="S10" s="11" t="str">
        <x:v>Inherited candidate quantity; netlist/thermal review pending</x:v>
      </x:c>
      <x:c r="T10" s="11" t="str">
        <x:v>UNKNOWN</x:v>
      </x:c>
      <x:c r="U10" s="11" t="str">
        <x:v>背面电子件 / 正面TX RX</x:v>
      </x:c>
      <x:c r="V10" s="11" t="str">
        <x:v>HOLD</x:v>
      </x:c>
    </x:row>
    <x:row r="11" ht="64" customHeight="1">
      <x:c r="A11" s="11" t="str">
        <x:v>B-007</x:v>
      </x:c>
      <x:c r="B11" s="11" t="str">
        <x:v>双输入OR联锁门</x:v>
      </x:c>
      <x:c r="C11" s="11" t="str">
        <x:v>SN74LVC1G32DBVR</x:v>
      </x:c>
      <x:c r="D11" s="11" t="str">
        <x:v>UNKNOWN_VERIFY</x:v>
      </x:c>
      <x:c r="E11" s="13" t="n">
        <x:v>0</x:v>
      </x:c>
      <x:c r="F11" s="14" t="n">
        <x:v>0.1</x:v>
      </x:c>
      <x:c r="G11" s="13" t="n">
        <x:f>ROUNDUP(E11*(1+F11),0)</x:f>
        <x:v>0</x:v>
      </x:c>
      <x:c r="H11" s="11" t="str"/>
      <x:c r="I11" s="11" t="str">
        <x:v>SOT-23-5; Pin1/EP原生库待核</x:v>
      </x:c>
      <x:c r="J11" s="11" t="str">
        <x:v>OE fail-high 组合/拉起，逻辑需核验</x:v>
      </x:c>
      <x:c r="K11" s="11" t="str">
        <x:v>UNKNOWN</x:v>
      </x:c>
      <x:c r="L11" s="11" t="str">
        <x:v>CENTRAL_USB5V / 3V3</x:v>
      </x:c>
      <x:c r="M11" s="11" t="str">
        <x:v>https://www.ti.com/product/SN74LVC1G32</x:v>
      </x:c>
      <x:c r="N11" s="11" t="str">
        <x:v>授权渠道待选；不默认替代</x:v>
      </x:c>
      <x:c r="O11" s="11" t="str">
        <x:v>UNKNOWN_VERIFY</x:v>
      </x:c>
      <x:c r="P11" s="11" t="str">
        <x:v>2026-10-11</x:v>
      </x:c>
      <x:c r="Q11" s="11" t="str">
        <x:v>INHERITED_CANDIDATE_REQUIRES_NATIVE_PIN_REVIEW</x:v>
      </x:c>
      <x:c r="R11" s="11" t="str">
        <x:v>User v5 scope; no procurement permission</x:v>
      </x:c>
      <x:c r="S11" s="11" t="str">
        <x:v>Inherited candidate quantity; netlist/thermal review pending</x:v>
      </x:c>
      <x:c r="T11" s="11" t="str">
        <x:v>UNKNOWN</x:v>
      </x:c>
      <x:c r="U11" s="11" t="str">
        <x:v>背面电子件 / 正面TX RX</x:v>
      </x:c>
      <x:c r="V11" s="11" t="str">
        <x:v>HOLD</x:v>
      </x:c>
    </x:row>
    <x:row r="12" ht="64" customHeight="1">
      <x:c r="A12" s="11" t="str">
        <x:v>B-008</x:v>
      </x:c>
      <x:c r="B12" s="11" t="str">
        <x:v>独立上电复位/欠压检测</x:v>
      </x:c>
      <x:c r="C12" s="11" t="str">
        <x:v>TLV803 / TPS3839 类（需定料）</x:v>
      </x:c>
      <x:c r="D12" s="11" t="str">
        <x:v>UNKNOWN_VERIFY</x:v>
      </x:c>
      <x:c r="E12" s="13" t="n">
        <x:v>0</x:v>
      </x:c>
      <x:c r="F12" s="14" t="n">
        <x:v>0.1</x:v>
      </x:c>
      <x:c r="G12" s="13" t="n">
        <x:f>ROUNDUP(E12*(1+F12),0)</x:f>
        <x:v>0</x:v>
      </x:c>
      <x:c r="H12" s="11" t="str"/>
      <x:c r="I12" s="11" t="str">
        <x:v>SOT-23 TBD; Pin1/EP原生库待核</x:v>
      </x:c>
      <x:c r="J12" s="11" t="str">
        <x:v>监测各板本地3.3V；独立硬件复位/禁能</x:v>
      </x:c>
      <x:c r="K12" s="11" t="str">
        <x:v>UNKNOWN</x:v>
      </x:c>
      <x:c r="L12" s="11" t="str">
        <x:v>CENTRAL_USB5V / 3V3</x:v>
      </x:c>
      <x:c r="M12" s="11" t="str">
        <x:v>https://www.ti.com/product/TPS3839</x:v>
      </x:c>
      <x:c r="N12" s="11" t="str">
        <x:v>授权渠道待选；不默认替代</x:v>
      </x:c>
      <x:c r="O12" s="11" t="str">
        <x:v>UNKNOWN_VERIFY</x:v>
      </x:c>
      <x:c r="P12" s="11" t="str">
        <x:v>2026-10-11</x:v>
      </x:c>
      <x:c r="Q12" s="11" t="str">
        <x:v>INHERITED_CANDIDATE_REQUIRES_NATIVE_PIN_REVIEW</x:v>
      </x:c>
      <x:c r="R12" s="11" t="str">
        <x:v>User v5 scope; no procurement permission</x:v>
      </x:c>
      <x:c r="S12" s="11" t="str">
        <x:v>Inherited candidate quantity; netlist/thermal review pending</x:v>
      </x:c>
      <x:c r="T12" s="11" t="str">
        <x:v>UNKNOWN</x:v>
      </x:c>
      <x:c r="U12" s="11" t="str">
        <x:v>背面电子件 / 正面TX RX</x:v>
      </x:c>
      <x:c r="V12" s="11" t="str">
        <x:v>HOLD</x:v>
      </x:c>
    </x:row>
    <x:row r="13" ht="64" customHeight="1">
      <x:c r="A13" s="11" t="str">
        <x:v>B-009</x:v>
      </x:c>
      <x:c r="B13" s="11" t="str">
        <x:v>硬件失联看门狗</x:v>
      </x:c>
      <x:c r="C13" s="11" t="str">
        <x:v>TPS3430 类（需定料）</x:v>
      </x:c>
      <x:c r="D13" s="11" t="str">
        <x:v>UNKNOWN_VERIFY</x:v>
      </x:c>
      <x:c r="E13" s="13" t="n">
        <x:v>0</x:v>
      </x:c>
      <x:c r="F13" s="14" t="n">
        <x:v>0.1</x:v>
      </x:c>
      <x:c r="G13" s="13" t="n">
        <x:f>ROUNDUP(E13*(1+F13),0)</x:f>
        <x:v>0</x:v>
      </x:c>
      <x:c r="H13" s="11" t="str"/>
      <x:c r="I13" s="11" t="str">
        <x:v>TBD; Pin1/EP原生库待核</x:v>
      </x:c>
      <x:c r="J13" s="11" t="str">
        <x:v>EN必须由本地心跳与PGOOD共同允许；不可仅FPGA软件控制</x:v>
      </x:c>
      <x:c r="K13" s="11" t="str">
        <x:v>UNKNOWN</x:v>
      </x:c>
      <x:c r="L13" s="11" t="str">
        <x:v>CENTRAL_USB5V / 3V3</x:v>
      </x:c>
      <x:c r="M13" s="11" t="str">
        <x:v>https://www.ti.com/product/TPS3430</x:v>
      </x:c>
      <x:c r="N13" s="11" t="str">
        <x:v>授权渠道待选；不默认替代</x:v>
      </x:c>
      <x:c r="O13" s="11" t="str">
        <x:v>UNKNOWN_VERIFY</x:v>
      </x:c>
      <x:c r="P13" s="11" t="str">
        <x:v>2026-10-11</x:v>
      </x:c>
      <x:c r="Q13" s="11" t="str">
        <x:v>INHERITED_CANDIDATE_REQUIRES_NATIVE_PIN_REVIEW</x:v>
      </x:c>
      <x:c r="R13" s="11" t="str">
        <x:v>User v5 scope; no procurement permission</x:v>
      </x:c>
      <x:c r="S13" s="11" t="str">
        <x:v>Inherited candidate quantity; netlist/thermal review pending</x:v>
      </x:c>
      <x:c r="T13" s="11" t="str">
        <x:v>UNKNOWN</x:v>
      </x:c>
      <x:c r="U13" s="11" t="str">
        <x:v>背面电子件 / 正面TX RX</x:v>
      </x:c>
      <x:c r="V13" s="11" t="str">
        <x:v>HOLD</x:v>
      </x:c>
    </x:row>
    <x:row r="14" ht="64" customHeight="1">
      <x:c r="A14" s="11" t="str">
        <x:v>B-010</x:v>
      </x:c>
      <x:c r="B14" s="11" t="str">
        <x:v>4通道SPDT切换开关</x:v>
      </x:c>
      <x:c r="C14" s="11" t="str">
        <x:v>TMUX1574PWR</x:v>
      </x:c>
      <x:c r="D14" s="11" t="str">
        <x:v>UNKNOWN_VERIFY</x:v>
      </x:c>
      <x:c r="E14" s="13" t="n">
        <x:v>0</x:v>
      </x:c>
      <x:c r="F14" s="14" t="n">
        <x:v>0.1</x:v>
      </x:c>
      <x:c r="G14" s="13" t="n">
        <x:f>ROUNDUP(E14*(1+F14),0)</x:f>
        <x:v>0</x:v>
      </x:c>
      <x:c r="H14" s="11" t="str"/>
      <x:c r="I14" s="11" t="str">
        <x:v>TSSOP-16; Pin1/EP原生库待核</x:v>
      </x:c>
      <x:c r="J14" s="11" t="str">
        <x:v>每板4 RX通道；空白期切到静态偏置</x:v>
      </x:c>
      <x:c r="K14" s="11" t="str">
        <x:v>UNKNOWN</x:v>
      </x:c>
      <x:c r="L14" s="11" t="str">
        <x:v>CENTRAL_USB5V / 3V3</x:v>
      </x:c>
      <x:c r="M14" s="11" t="str">
        <x:v>https://www.ti.com/product/TMUX1574</x:v>
      </x:c>
      <x:c r="N14" s="11" t="str">
        <x:v>授权渠道待选；不默认替代</x:v>
      </x:c>
      <x:c r="O14" s="11" t="str">
        <x:v>UNKNOWN_VERIFY</x:v>
      </x:c>
      <x:c r="P14" s="11" t="str">
        <x:v>2026-10-11</x:v>
      </x:c>
      <x:c r="Q14" s="11" t="str">
        <x:v>INHERITED_CANDIDATE_REQUIRES_NATIVE_PIN_REVIEW</x:v>
      </x:c>
      <x:c r="R14" s="11" t="str">
        <x:v>User v5 scope; no procurement permission</x:v>
      </x:c>
      <x:c r="S14" s="11" t="str">
        <x:v>Inherited candidate quantity; netlist/thermal review pending</x:v>
      </x:c>
      <x:c r="T14" s="11" t="str">
        <x:v>UNKNOWN</x:v>
      </x:c>
      <x:c r="U14" s="11" t="str">
        <x:v>背面电子件 / 正面TX RX</x:v>
      </x:c>
      <x:c r="V14" s="11" t="str">
        <x:v>HOLD</x:v>
      </x:c>
    </x:row>
    <x:row r="15" ht="64" customHeight="1">
      <x:c r="A15" s="11" t="str">
        <x:v>B-011</x:v>
      </x:c>
      <x:c r="B15" s="11" t="str">
        <x:v>四路精密运放</x:v>
      </x:c>
      <x:c r="C15" s="11" t="str">
        <x:v>OPA4192IPWR</x:v>
      </x:c>
      <x:c r="D15" s="11" t="str">
        <x:v>UNKNOWN_VERIFY</x:v>
      </x:c>
      <x:c r="E15" s="13" t="n">
        <x:v>0</x:v>
      </x:c>
      <x:c r="F15" s="14" t="n">
        <x:v>0.1</x:v>
      </x:c>
      <x:c r="G15" s="13" t="n">
        <x:f>ROUNDUP(E15*(1+F15),0)</x:f>
        <x:v>0</x:v>
      </x:c>
      <x:c r="H15" s="11" t="str"/>
      <x:c r="I15" s="11" t="str">
        <x:v>TSSOP-14; Pin1/EP原生库待核</x:v>
      </x:c>
      <x:c r="J15" s="11" t="str">
        <x:v>每个RX两级，合计16运放单元</x:v>
      </x:c>
      <x:c r="K15" s="11" t="str">
        <x:v>UNKNOWN</x:v>
      </x:c>
      <x:c r="L15" s="11" t="str">
        <x:v>CENTRAL_USB5V / 3V3</x:v>
      </x:c>
      <x:c r="M15" s="11" t="str">
        <x:v>https://www.ti.com/product/OPA4192</x:v>
      </x:c>
      <x:c r="N15" s="11" t="str">
        <x:v>授权渠道待选；不默认替代</x:v>
      </x:c>
      <x:c r="O15" s="11" t="str">
        <x:v>UNKNOWN_VERIFY</x:v>
      </x:c>
      <x:c r="P15" s="11" t="str">
        <x:v>2026-10-11</x:v>
      </x:c>
      <x:c r="Q15" s="11" t="str">
        <x:v>INHERITED_CANDIDATE_REQUIRES_NATIVE_PIN_REVIEW</x:v>
      </x:c>
      <x:c r="R15" s="11" t="str">
        <x:v>User v5 scope; no procurement permission</x:v>
      </x:c>
      <x:c r="S15" s="11" t="str">
        <x:v>Inherited candidate quantity; netlist/thermal review pending</x:v>
      </x:c>
      <x:c r="T15" s="11" t="str">
        <x:v>UNKNOWN</x:v>
      </x:c>
      <x:c r="U15" s="11" t="str">
        <x:v>背面电子件 / 正面TX RX</x:v>
      </x:c>
      <x:c r="V15" s="11" t="str">
        <x:v>HOLD</x:v>
      </x:c>
    </x:row>
    <x:row r="16" ht="64" customHeight="1">
      <x:c r="A16" s="11" t="str">
        <x:v>B-012</x:v>
      </x:c>
      <x:c r="B16" s="11" t="str">
        <x:v>2.5V 精密偏置基准</x:v>
      </x:c>
      <x:c r="C16" s="11" t="str">
        <x:v>REF5025AIDR</x:v>
      </x:c>
      <x:c r="D16" s="11" t="str">
        <x:v>UNKNOWN_VERIFY</x:v>
      </x:c>
      <x:c r="E16" s="13" t="n">
        <x:v>0</x:v>
      </x:c>
      <x:c r="F16" s="14" t="n">
        <x:v>0.1</x:v>
      </x:c>
      <x:c r="G16" s="13" t="n">
        <x:f>ROUNDUP(E16*(1+F16),0)</x:f>
        <x:v>0</x:v>
      </x:c>
      <x:c r="H16" s="11" t="str"/>
      <x:c r="I16" s="11" t="str">
        <x:v>SOIC-8; Pin1/EP原生库待核</x:v>
      </x:c>
      <x:c r="J16" s="11" t="str">
        <x:v>各板一颗；ADC内部基准另按AD7606B约束</x:v>
      </x:c>
      <x:c r="K16" s="11" t="str">
        <x:v>UNKNOWN</x:v>
      </x:c>
      <x:c r="L16" s="11" t="str">
        <x:v>CENTRAL_USB5V / 3V3</x:v>
      </x:c>
      <x:c r="M16" s="11" t="str">
        <x:v>https://www.ti.com/product/REF5025</x:v>
      </x:c>
      <x:c r="N16" s="11" t="str">
        <x:v>授权渠道待选；不默认替代</x:v>
      </x:c>
      <x:c r="O16" s="11" t="str">
        <x:v>UNKNOWN_VERIFY</x:v>
      </x:c>
      <x:c r="P16" s="11" t="str">
        <x:v>2026-10-11</x:v>
      </x:c>
      <x:c r="Q16" s="11" t="str">
        <x:v>INHERITED_CANDIDATE_REQUIRES_NATIVE_PIN_REVIEW</x:v>
      </x:c>
      <x:c r="R16" s="11" t="str">
        <x:v>User v5 scope; no procurement permission</x:v>
      </x:c>
      <x:c r="S16" s="11" t="str">
        <x:v>Inherited candidate quantity; netlist/thermal review pending</x:v>
      </x:c>
      <x:c r="T16" s="11" t="str">
        <x:v>UNKNOWN</x:v>
      </x:c>
      <x:c r="U16" s="11" t="str">
        <x:v>背面电子件 / 正面TX RX</x:v>
      </x:c>
      <x:c r="V16" s="11" t="str">
        <x:v>HOLD</x:v>
      </x:c>
    </x:row>
    <x:row r="17" ht="64" customHeight="1">
      <x:c r="A17" s="11" t="str">
        <x:v>B-013</x:v>
      </x:c>
      <x:c r="B17" s="11" t="str">
        <x:v>双肖特基输入保护</x:v>
      </x:c>
      <x:c r="C17" s="11" t="str">
        <x:v>BAT54S</x:v>
      </x:c>
      <x:c r="D17" s="11" t="str">
        <x:v>UNKNOWN_VERIFY</x:v>
      </x:c>
      <x:c r="E17" s="13" t="n">
        <x:v>0</x:v>
      </x:c>
      <x:c r="F17" s="14" t="n">
        <x:v>0.1</x:v>
      </x:c>
      <x:c r="G17" s="13" t="n">
        <x:f>ROUNDUP(E17*(1+F17),0)</x:f>
        <x:v>0</x:v>
      </x:c>
      <x:c r="H17" s="11" t="str"/>
      <x:c r="I17" s="11" t="str">
        <x:v>SOT-23; Pin1/EP原生库待核</x:v>
      </x:c>
      <x:c r="J17" s="11" t="str">
        <x:v>每RX一路</x:v>
      </x:c>
      <x:c r="K17" s="11" t="str">
        <x:v>UNKNOWN</x:v>
      </x:c>
      <x:c r="L17" s="11" t="str">
        <x:v>CENTRAL_USB5V / 3V3</x:v>
      </x:c>
      <x:c r="M17" s="11" t="str">
        <x:v>https://www.lcsc.com</x:v>
      </x:c>
      <x:c r="N17" s="11" t="str">
        <x:v>授权渠道待选；不默认替代</x:v>
      </x:c>
      <x:c r="O17" s="11" t="str">
        <x:v>UNKNOWN_VERIFY</x:v>
      </x:c>
      <x:c r="P17" s="11" t="str">
        <x:v>2026-10-11</x:v>
      </x:c>
      <x:c r="Q17" s="11" t="str">
        <x:v>INHERITED_CANDIDATE_REQUIRES_NATIVE_PIN_REVIEW</x:v>
      </x:c>
      <x:c r="R17" s="11" t="str">
        <x:v>User v5 scope; no procurement permission</x:v>
      </x:c>
      <x:c r="S17" s="11" t="str">
        <x:v>Inherited candidate quantity; netlist/thermal review pending</x:v>
      </x:c>
      <x:c r="T17" s="11" t="str">
        <x:v>UNKNOWN</x:v>
      </x:c>
      <x:c r="U17" s="11" t="str">
        <x:v>背面电子件 / 正面TX RX</x:v>
      </x:c>
      <x:c r="V17" s="11" t="str">
        <x:v>HOLD</x:v>
      </x:c>
    </x:row>
    <x:row r="18" ht="64" customHeight="1">
      <x:c r="A18" s="11" t="str">
        <x:v>B-014</x:v>
      </x:c>
      <x:c r="B18" s="11" t="str">
        <x:v>8通道同步16bit ADC</x:v>
      </x:c>
      <x:c r="C18" s="11" t="str">
        <x:v>AD7606C-16BSTZ-RL</x:v>
      </x:c>
      <x:c r="D18" s="11" t="str">
        <x:v>Analog Devices</x:v>
      </x:c>
      <x:c r="E18" s="13" t="n">
        <x:v>1</x:v>
      </x:c>
      <x:c r="F18" s="14" t="n">
        <x:v>0.1</x:v>
      </x:c>
      <x:c r="G18" s="13" t="n">
        <x:f>ROUNDUP(E18*(1+F18),0)</x:f>
        <x:v>2</x:v>
      </x:c>
      <x:c r="H18" s="11" t="str">
        <x:v>CE_B014_001</x:v>
      </x:c>
      <x:c r="I18" s="11" t="str">
        <x:v>LQFP64 ST-64-2; Pin1/native footprint/order suffix HOLD; Pin1/EP原生库待核</x:v>
      </x:c>
      <x:c r="J18" s="11" t="str">
        <x:v>AVCC4.75..5.25V; VDRIVE3V3 candidate; highBW220kHz +/-5VSE</x:v>
      </x:c>
      <x:c r="K18" s="11" t="n">
        <x:v>0.05</x:v>
      </x:c>
      <x:c r="L18" s="11" t="str">
        <x:v>CENTRAL_USB5V / 3V3</x:v>
      </x:c>
      <x:c r="M18" s="11" t="str">
        <x:v>https://www.analog.com/media/en/technical-documentation/data-sheets/ad7606c-16.pdf</x:v>
      </x:c>
      <x:c r="N18" s="11" t="str">
        <x:v>授权渠道待选；不默认替代</x:v>
      </x:c>
      <x:c r="O18" s="11" t="str">
        <x:v>Rev.A</x:v>
      </x:c>
      <x:c r="P18" s="11" t="str">
        <x:v>2026-10-11</x:v>
      </x:c>
      <x:c r="Q18" s="11" t="str">
        <x:v>DESIGN_SELECTED_DEVICE_DIRECTION_ELECTRICAL_HOLD</x:v>
      </x:c>
      <x:c r="R18" s="11" t="str">
        <x:v>User v5 scope; no procurement permission</x:v>
      </x:c>
      <x:c r="S18" s="11" t="str">
        <x:v>50mA max AVCC1MSPS data-sheet envelope only; add VDRIVE/reference/AFE/startup; not measured central budget</x:v>
      </x:c>
      <x:c r="T18" s="11" t="str">
        <x:v>UNKNOWN</x:v>
      </x:c>
      <x:c r="U18" s="11" t="str">
        <x:v>背面电子件 / 正面TX RX</x:v>
      </x:c>
      <x:c r="V18" s="11" t="str">
        <x:v>HOLD</x:v>
      </x:c>
    </x:row>
    <x:row r="19" ht="64" customHeight="1">
      <x:c r="A19" s="11" t="str">
        <x:v>B-015</x:v>
      </x:c>
      <x:c r="B19" s="11" t="str">
        <x:v>ADC RC输入限流/缓冲网络</x:v>
      </x:c>
      <x:c r="C19" s="11" t="str">
        <x:v>47Ω+1nF C0G 组合</x:v>
      </x:c>
      <x:c r="D19" s="11" t="str">
        <x:v>UNKNOWN_VERIFY</x:v>
      </x:c>
      <x:c r="E19" s="13" t="n">
        <x:v>0</x:v>
      </x:c>
      <x:c r="F19" s="14" t="n">
        <x:v>0.1</x:v>
      </x:c>
      <x:c r="G19" s="13" t="n">
        <x:f>ROUNDUP(E19*(1+F19),0)</x:f>
        <x:v>0</x:v>
      </x:c>
      <x:c r="H19" s="11" t="str"/>
      <x:c r="I19" s="11" t="str">
        <x:v>离散; Pin1/EP原生库待核</x:v>
      </x:c>
      <x:c r="J19" s="11" t="str">
        <x:v>8路; 初值非最终ADC驱动网络</x:v>
      </x:c>
      <x:c r="K19" s="11" t="str">
        <x:v>UNKNOWN</x:v>
      </x:c>
      <x:c r="L19" s="11" t="str">
        <x:v>CENTRAL_USB5V / 3V3</x:v>
      </x:c>
      <x:c r="M19" s="11" t="str">
        <x:v>https://www.analog.com/en/products/ad7606b.html</x:v>
      </x:c>
      <x:c r="N19" s="11" t="str">
        <x:v>授权渠道待选；不默认替代</x:v>
      </x:c>
      <x:c r="O19" s="11" t="str">
        <x:v>UNKNOWN_VERIFY</x:v>
      </x:c>
      <x:c r="P19" s="11" t="str">
        <x:v>2026-10-11</x:v>
      </x:c>
      <x:c r="Q19" s="11" t="str">
        <x:v>INHERITED_CANDIDATE_REQUIRES_NATIVE_PIN_REVIEW</x:v>
      </x:c>
      <x:c r="R19" s="11" t="str">
        <x:v>User v5 scope; no procurement permission</x:v>
      </x:c>
      <x:c r="S19" s="11" t="str">
        <x:v>Inherited candidate quantity; netlist/thermal review pending</x:v>
      </x:c>
      <x:c r="T19" s="11" t="str">
        <x:v>UNKNOWN</x:v>
      </x:c>
      <x:c r="U19" s="11" t="str">
        <x:v>背面电子件 / 正面TX RX</x:v>
      </x:c>
      <x:c r="V19" s="11" t="str">
        <x:v>HOLD</x:v>
      </x:c>
    </x:row>
    <x:row r="20" ht="64" customHeight="1">
      <x:c r="A20" s="11" t="str">
        <x:v>B-016</x:v>
      </x:c>
      <x:c r="B20" s="11" t="str">
        <x:v>ADC基准去耦/配置网络</x:v>
      </x:c>
      <x:c r="C20" s="11" t="str">
        <x:v>AD7606C16_REFERENCE_DECOUPLING_ALLOCATION</x:v>
      </x:c>
      <x:c r="D20" s="11" t="str">
        <x:v>UNKNOWN_VERIFY</x:v>
      </x:c>
      <x:c r="E20" s="13" t="n">
        <x:v>0</x:v>
      </x:c>
      <x:c r="F20" s="14" t="n">
        <x:v>0.1</x:v>
      </x:c>
      <x:c r="G20" s="13" t="n">
        <x:f>ROUNDUP(E20*(1+F20),0)</x:f>
        <x:v>0</x:v>
      </x:c>
      <x:c r="H20" s="11" t="str"/>
      <x:c r="I20" s="11" t="str">
        <x:v>ALLOCATION_NOTE_NOT_A_PHYSICAL_COMPONENT; Pin1/EP原生库待核</x:v>
      </x:c>
      <x:c r="J20" s="11" t="str">
        <x:v>按ADI推荐布局；与REF5025 RX偏置区分</x:v>
      </x:c>
      <x:c r="K20" s="11" t="str">
        <x:v>UNKNOWN</x:v>
      </x:c>
      <x:c r="L20" s="11" t="str">
        <x:v>CENTRAL_USB5V / 3V3</x:v>
      </x:c>
      <x:c r="M20" s="11" t="str">
        <x:v>https://www.analog.com/en/products/ad7606b.html</x:v>
      </x:c>
      <x:c r="N20" s="11" t="str">
        <x:v>授权渠道待选；不默认替代</x:v>
      </x:c>
      <x:c r="O20" s="11" t="str">
        <x:v>UNKNOWN_VERIFY</x:v>
      </x:c>
      <x:c r="P20" s="11" t="str">
        <x:v>2026-10-11</x:v>
      </x:c>
      <x:c r="Q20" s="11" t="str">
        <x:v>INHERITED_CANDIDATE_REQUIRES_NATIVE_PIN_REVIEW</x:v>
      </x:c>
      <x:c r="R20" s="11" t="str">
        <x:v>User v5 scope; no procurement permission</x:v>
      </x:c>
      <x:c r="S20" s="11" t="str">
        <x:v>B047central2: REGCAP36/39 each1uF; B049one: REFCAP44+45 10uF lowESR; B046one REFIN42 100nF and four AVCC bypass; remaining aggregate caps require pin-level allocation</x:v>
      </x:c>
      <x:c r="T20" s="11" t="str">
        <x:v>UNKNOWN</x:v>
      </x:c>
      <x:c r="U20" s="11" t="str">
        <x:v>背面电子件 / 正面TX RX</x:v>
      </x:c>
      <x:c r="V20" s="11" t="str">
        <x:v>HOLD</x:v>
      </x:c>
    </x:row>
    <x:row r="21" ht="64" customHeight="1">
      <x:c r="A21" s="11" t="str">
        <x:v>B-017</x:v>
      </x:c>
      <x:c r="B21" s="11" t="str">
        <x:v>温湿度传感器</x:v>
      </x:c>
      <x:c r="C21" s="11" t="str">
        <x:v>SHT45-AD1B-R2</x:v>
      </x:c>
      <x:c r="D21" s="11" t="str">
        <x:v>UNKNOWN_VERIFY</x:v>
      </x:c>
      <x:c r="E21" s="13" t="n">
        <x:v>0</x:v>
      </x:c>
      <x:c r="F21" s="14" t="n">
        <x:v>0.1</x:v>
      </x:c>
      <x:c r="G21" s="13" t="n">
        <x:f>ROUNDUP(E21*(1+F21),0)</x:f>
        <x:v>0</x:v>
      </x:c>
      <x:c r="H21" s="11" t="str"/>
      <x:c r="I21" s="11" t="str">
        <x:v>DFN-4; Pin1/EP原生库待核</x:v>
      </x:c>
      <x:c r="J21" s="11" t="str">
        <x:v>I2C，远离发射功率温升</x:v>
      </x:c>
      <x:c r="K21" s="11" t="str">
        <x:v>UNKNOWN</x:v>
      </x:c>
      <x:c r="L21" s="11" t="str">
        <x:v>CENTRAL_USB5V / 3V3</x:v>
      </x:c>
      <x:c r="M21" s="11" t="str">
        <x:v>https://sensirion.com/products/catalog/SHT45</x:v>
      </x:c>
      <x:c r="N21" s="11" t="str">
        <x:v>授权渠道待选；不默认替代</x:v>
      </x:c>
      <x:c r="O21" s="11" t="str">
        <x:v>UNKNOWN_VERIFY</x:v>
      </x:c>
      <x:c r="P21" s="11" t="str">
        <x:v>2026-10-11</x:v>
      </x:c>
      <x:c r="Q21" s="11" t="str">
        <x:v>INHERITED_CANDIDATE_REQUIRES_NATIVE_PIN_REVIEW</x:v>
      </x:c>
      <x:c r="R21" s="11" t="str">
        <x:v>User v5 scope; no procurement permission</x:v>
      </x:c>
      <x:c r="S21" s="11" t="str">
        <x:v>SUPERSEDED_OR_OPTIONAL_DNP: see new H entries; not installed twice</x:v>
      </x:c>
      <x:c r="T21" s="11" t="str">
        <x:v>UNKNOWN</x:v>
      </x:c>
      <x:c r="U21" s="11" t="str">
        <x:v>背面电子件 / 正面TX RX</x:v>
      </x:c>
      <x:c r="V21" s="11" t="str">
        <x:v>HOLD</x:v>
      </x:c>
    </x:row>
    <x:row r="22" ht="64" customHeight="1">
      <x:c r="A22" s="11" t="str">
        <x:v>B-018</x:v>
      </x:c>
      <x:c r="B22" s="11" t="str">
        <x:v>独立12V电源输入座</x:v>
      </x:c>
      <x:c r="C22" s="11" t="str">
        <x:v>XT30PW-M30.G.Y</x:v>
      </x:c>
      <x:c r="D22" s="11" t="str">
        <x:v>UNKNOWN_VERIFY</x:v>
      </x:c>
      <x:c r="E22" s="13" t="n">
        <x:v>0</x:v>
      </x:c>
      <x:c r="F22" s="14" t="n">
        <x:v>0.1</x:v>
      </x:c>
      <x:c r="G22" s="13" t="n">
        <x:f>ROUNDUP(E22*(1+F22),0)</x:f>
        <x:v>0</x:v>
      </x:c>
      <x:c r="H22" s="11" t="str"/>
      <x:c r="I22" s="11" t="str">
        <x:v>THT; Pin1/EP原生库待核</x:v>
      </x:c>
      <x:c r="J22" s="11" t="str">
        <x:v>每阵列专属PWR_UP_IN/PWR_LO_IN；不得从J10/J11取功率</x:v>
      </x:c>
      <x:c r="K22" s="11" t="str">
        <x:v>UNKNOWN</x:v>
      </x:c>
      <x:c r="L22" s="11" t="str">
        <x:v>CENTRAL_USB5V / 3V3</x:v>
      </x:c>
      <x:c r="M22" s="11" t="str">
        <x:v>https://www.lcsc.com</x:v>
      </x:c>
      <x:c r="N22" s="11" t="str">
        <x:v>授权渠道待选；不默认替代</x:v>
      </x:c>
      <x:c r="O22" s="11" t="str">
        <x:v>UNKNOWN_VERIFY</x:v>
      </x:c>
      <x:c r="P22" s="11" t="str">
        <x:v>2026-10-11</x:v>
      </x:c>
      <x:c r="Q22" s="11" t="str">
        <x:v>INHERITED_CANDIDATE_REQUIRES_NATIVE_PIN_REVIEW</x:v>
      </x:c>
      <x:c r="R22" s="11" t="str">
        <x:v>User v5 scope; no procurement permission</x:v>
      </x:c>
      <x:c r="S22" s="11" t="str">
        <x:v>SUPERSEDED_OR_OPTIONAL_DNP: see new H entries; not installed twice</x:v>
      </x:c>
      <x:c r="T22" s="11" t="str">
        <x:v>UNKNOWN</x:v>
      </x:c>
      <x:c r="U22" s="11" t="str">
        <x:v>背面电子件 / 正面TX RX</x:v>
      </x:c>
      <x:c r="V22" s="11" t="str">
        <x:v>HOLD</x:v>
      </x:c>
    </x:row>
    <x:row r="23" ht="64" customHeight="1">
      <x:c r="A23" s="11" t="str">
        <x:v>B-019</x:v>
      </x:c>
      <x:c r="B23" s="11" t="str">
        <x:v>中央辅助电源接口</x:v>
      </x:c>
      <x:c r="C23" s="11" t="str">
        <x:v>XT30PW-M30.G.Y</x:v>
      </x:c>
      <x:c r="D23" s="11" t="str">
        <x:v>UNKNOWN_VERIFY</x:v>
      </x:c>
      <x:c r="E23" s="13" t="n">
        <x:v>0</x:v>
      </x:c>
      <x:c r="F23" s="14" t="n">
        <x:v>0.1</x:v>
      </x:c>
      <x:c r="G23" s="13" t="n">
        <x:f>ROUNDUP(E23*(1+F23),0)</x:f>
        <x:v>0</x:v>
      </x:c>
      <x:c r="H23" s="11" t="str"/>
      <x:c r="I23" s="11" t="str">
        <x:v>THT; Pin1/EP原生库待核</x:v>
      </x:c>
      <x:c r="J23" s="11" t="str">
        <x:v>为中央ADC与辅助逻辑提供独立电源；AX7020开发板自带电源独立</x:v>
      </x:c>
      <x:c r="K23" s="11" t="str">
        <x:v>UNKNOWN</x:v>
      </x:c>
      <x:c r="L23" s="11" t="str">
        <x:v>CENTRAL_USB5V / 3V3</x:v>
      </x:c>
      <x:c r="M23" s="11" t="str">
        <x:v>https://www.lcsc.com</x:v>
      </x:c>
      <x:c r="N23" s="11" t="str">
        <x:v>授权渠道待选；不默认替代</x:v>
      </x:c>
      <x:c r="O23" s="11" t="str">
        <x:v>UNKNOWN_VERIFY</x:v>
      </x:c>
      <x:c r="P23" s="11" t="str">
        <x:v>2026-10-11</x:v>
      </x:c>
      <x:c r="Q23" s="11" t="str">
        <x:v>INHERITED_CANDIDATE_REQUIRES_NATIVE_PIN_REVIEW</x:v>
      </x:c>
      <x:c r="R23" s="11" t="str">
        <x:v>User v5 scope; no procurement permission</x:v>
      </x:c>
      <x:c r="S23" s="11" t="str">
        <x:v>Removed central external power path; central AX7020-only source</x:v>
      </x:c>
      <x:c r="T23" s="11" t="str">
        <x:v>UNKNOWN</x:v>
      </x:c>
      <x:c r="U23" s="11" t="str">
        <x:v>背面电子件 / 正面TX RX</x:v>
      </x:c>
      <x:c r="V23" s="11" t="str">
        <x:v>HOLD</x:v>
      </x:c>
    </x:row>
    <x:row r="24" ht="64" customHeight="1">
      <x:c r="A24" s="11" t="str">
        <x:v>B-020</x:v>
      </x:c>
      <x:c r="B24" s="11" t="str">
        <x:v>正向/反向/过流eFuse</x:v>
      </x:c>
      <x:c r="C24" s="11" t="str">
        <x:v>TPS259470LRPWR</x:v>
      </x:c>
      <x:c r="D24" s="11" t="str">
        <x:v>UNKNOWN_VERIFY</x:v>
      </x:c>
      <x:c r="E24" s="13" t="n">
        <x:v>0</x:v>
      </x:c>
      <x:c r="F24" s="14" t="n">
        <x:v>0.1</x:v>
      </x:c>
      <x:c r="G24" s="13" t="n">
        <x:f>ROUNDUP(E24*(1+F24),0)</x:f>
        <x:v>0</x:v>
      </x:c>
      <x:c r="H24" s="11" t="str"/>
      <x:c r="I24" s="11" t="str">
        <x:v>VQFN-10; Pin1/EP原生库待核</x:v>
      </x:c>
      <x:c r="J24" s="11" t="str">
        <x:v>三路电源各自配置ILIM/OVLO；历史2A只是候选</x:v>
      </x:c>
      <x:c r="K24" s="11" t="str">
        <x:v>UNKNOWN</x:v>
      </x:c>
      <x:c r="L24" s="11" t="str">
        <x:v>CENTRAL_USB5V / 3V3</x:v>
      </x:c>
      <x:c r="M24" s="11" t="str">
        <x:v>https://www.ti.com/product/TPS25947</x:v>
      </x:c>
      <x:c r="N24" s="11" t="str">
        <x:v>授权渠道待选；不默认替代</x:v>
      </x:c>
      <x:c r="O24" s="11" t="str">
        <x:v>UNKNOWN_VERIFY</x:v>
      </x:c>
      <x:c r="P24" s="11" t="str">
        <x:v>2026-10-11</x:v>
      </x:c>
      <x:c r="Q24" s="11" t="str">
        <x:v>INHERITED_CANDIDATE_REQUIRES_NATIVE_PIN_REVIEW</x:v>
      </x:c>
      <x:c r="R24" s="11" t="str">
        <x:v>User v5 scope; no procurement permission</x:v>
      </x:c>
      <x:c r="S24" s="11" t="str">
        <x:v>SUPERSEDED_OR_OPTIONAL_DNP: see new H entries; not installed twice</x:v>
      </x:c>
      <x:c r="T24" s="11" t="str">
        <x:v>UNKNOWN</x:v>
      </x:c>
      <x:c r="U24" s="11" t="str">
        <x:v>背面电子件 / 正面TX RX</x:v>
      </x:c>
      <x:c r="V24" s="11" t="str">
        <x:v>HOLD</x:v>
      </x:c>
    </x:row>
    <x:row r="25" ht="64" customHeight="1">
      <x:c r="A25" s="11" t="str">
        <x:v>B-021</x:v>
      </x:c>
      <x:c r="B25" s="11" t="str">
        <x:v>电源监控IC</x:v>
      </x:c>
      <x:c r="C25" s="11" t="str">
        <x:v>INA226AIDGSR</x:v>
      </x:c>
      <x:c r="D25" s="11" t="str">
        <x:v>UNKNOWN_VERIFY</x:v>
      </x:c>
      <x:c r="E25" s="13" t="n">
        <x:v>1</x:v>
      </x:c>
      <x:c r="F25" s="14" t="n">
        <x:v>0.1</x:v>
      </x:c>
      <x:c r="G25" s="13" t="n">
        <x:f>ROUNDUP(E25*(1+F25),0)</x:f>
        <x:v>2</x:v>
      </x:c>
      <x:c r="H25" s="11" t="str">
        <x:v>CE_B021_001</x:v>
      </x:c>
      <x:c r="I25" s="11" t="str">
        <x:v>VSSOP-10; Pin1/EP原生库待核</x:v>
      </x:c>
      <x:c r="J25" s="11" t="str">
        <x:v>两阵列+中央各一颗，shunt实际功耗需核算</x:v>
      </x:c>
      <x:c r="K25" s="11" t="str">
        <x:v>UNKNOWN</x:v>
      </x:c>
      <x:c r="L25" s="11" t="str">
        <x:v>CENTRAL_USB5V / 3V3</x:v>
      </x:c>
      <x:c r="M25" s="11" t="str">
        <x:v>https://www.ti.com/product/INA226</x:v>
      </x:c>
      <x:c r="N25" s="11" t="str">
        <x:v>授权渠道待选；不默认替代</x:v>
      </x:c>
      <x:c r="O25" s="11" t="str">
        <x:v>UNKNOWN_VERIFY</x:v>
      </x:c>
      <x:c r="P25" s="11" t="str">
        <x:v>2026-10-11</x:v>
      </x:c>
      <x:c r="Q25" s="11" t="str">
        <x:v>INHERITED_CANDIDATE_REQUIRES_NATIVE_PIN_REVIEW</x:v>
      </x:c>
      <x:c r="R25" s="11" t="str">
        <x:v>User v5 scope; no procurement permission</x:v>
      </x:c>
      <x:c r="S25" s="11" t="str">
        <x:v>Inherited candidate quantity; netlist/thermal review pending</x:v>
      </x:c>
      <x:c r="T25" s="11" t="str">
        <x:v>UNKNOWN</x:v>
      </x:c>
      <x:c r="U25" s="11" t="str">
        <x:v>背面电子件 / 正面TX RX</x:v>
      </x:c>
      <x:c r="V25" s="11" t="str">
        <x:v>HOLD</x:v>
      </x:c>
    </x:row>
    <x:row r="26" ht="64" customHeight="1">
      <x:c r="A26" s="11" t="str">
        <x:v>B-022</x:v>
      </x:c>
      <x:c r="B26" s="11" t="str">
        <x:v>低值分流电阻</x:v>
      </x:c>
      <x:c r="C26" s="11" t="str">
        <x:v>20mΩ 2512 1% 2W</x:v>
      </x:c>
      <x:c r="D26" s="11" t="str">
        <x:v>UNKNOWN_VERIFY</x:v>
      </x:c>
      <x:c r="E26" s="13" t="n">
        <x:v>1</x:v>
      </x:c>
      <x:c r="F26" s="14" t="n">
        <x:v>0.1</x:v>
      </x:c>
      <x:c r="G26" s="13" t="n">
        <x:f>ROUNDUP(E26*(1+F26),0)</x:f>
        <x:v>2</x:v>
      </x:c>
      <x:c r="H26" s="11" t="str">
        <x:v>CE_B022_001</x:v>
      </x:c>
      <x:c r="I26" s="11" t="str">
        <x:v>2512; Pin1/EP原生库待核</x:v>
      </x:c>
      <x:c r="J26" s="11" t="str">
        <x:v>20mΩ：INA226电流测量满量程约±4.096A</x:v>
      </x:c>
      <x:c r="K26" s="11" t="str">
        <x:v>UNKNOWN</x:v>
      </x:c>
      <x:c r="L26" s="11" t="str">
        <x:v>CENTRAL_USB5V / 3V3</x:v>
      </x:c>
      <x:c r="M26" s="11" t="str">
        <x:v>https://www.lcsc.com</x:v>
      </x:c>
      <x:c r="N26" s="11" t="str">
        <x:v>授权渠道待选；不默认替代</x:v>
      </x:c>
      <x:c r="O26" s="11" t="str">
        <x:v>UNKNOWN_VERIFY</x:v>
      </x:c>
      <x:c r="P26" s="11" t="str">
        <x:v>2026-10-11</x:v>
      </x:c>
      <x:c r="Q26" s="11" t="str">
        <x:v>INHERITED_CANDIDATE_REQUIRES_NATIVE_PIN_REVIEW</x:v>
      </x:c>
      <x:c r="R26" s="11" t="str">
        <x:v>User v5 scope; no procurement permission</x:v>
      </x:c>
      <x:c r="S26" s="11" t="str">
        <x:v>Inherited candidate quantity; netlist/thermal review pending</x:v>
      </x:c>
      <x:c r="T26" s="11" t="str">
        <x:v>UNKNOWN</x:v>
      </x:c>
      <x:c r="U26" s="11" t="str">
        <x:v>背面电子件 / 正面TX RX</x:v>
      </x:c>
      <x:c r="V26" s="11" t="str">
        <x:v>HOLD</x:v>
      </x:c>
    </x:row>
    <x:row r="27" ht="64" customHeight="1">
      <x:c r="A27" s="11" t="str">
        <x:v>B-023</x:v>
      </x:c>
      <x:c r="B27" s="11" t="str">
        <x:v>输入TVS</x:v>
      </x:c>
      <x:c r="C27" s="11" t="str">
        <x:v>SMBJ20A 类</x:v>
      </x:c>
      <x:c r="D27" s="11" t="str">
        <x:v>UNKNOWN_VERIFY</x:v>
      </x:c>
      <x:c r="E27" s="13" t="n">
        <x:v>0</x:v>
      </x:c>
      <x:c r="F27" s="14" t="n">
        <x:v>0.1</x:v>
      </x:c>
      <x:c r="G27" s="13" t="n">
        <x:f>ROUNDUP(E27*(1+F27),0)</x:f>
        <x:v>0</x:v>
      </x:c>
      <x:c r="H27" s="11" t="str"/>
      <x:c r="I27" s="11" t="str">
        <x:v>SMB; Pin1/EP原生库待核</x:v>
      </x:c>
      <x:c r="J27" s="11" t="str">
        <x:v>SMBJ20A候选撤销释放；32.4V钳位高于eFuse28V abs max</x:v>
      </x:c>
      <x:c r="K27" s="11" t="str">
        <x:v>UNKNOWN</x:v>
      </x:c>
      <x:c r="L27" s="11" t="str">
        <x:v>CENTRAL_USB5V / 3V3</x:v>
      </x:c>
      <x:c r="M27" s="11" t="str">
        <x:v>https://www.littelfuse.com/products/tvs-diodes/smbj.aspx</x:v>
      </x:c>
      <x:c r="N27" s="11" t="str">
        <x:v>授权渠道待选；不默认替代</x:v>
      </x:c>
      <x:c r="O27" s="11" t="str">
        <x:v>UNKNOWN_VERIFY</x:v>
      </x:c>
      <x:c r="P27" s="11" t="str">
        <x:v>2026-10-11</x:v>
      </x:c>
      <x:c r="Q27" s="11" t="str">
        <x:v>INHERITED_CANDIDATE_REQUIRES_NATIVE_PIN_REVIEW</x:v>
      </x:c>
      <x:c r="R27" s="11" t="str">
        <x:v>User v5 scope; no procurement permission</x:v>
      </x:c>
      <x:c r="S27" s="11" t="str">
        <x:v>Old SMBJ20A removed from installed candidate; replacement requires clamp/energy proof</x:v>
      </x:c>
      <x:c r="T27" s="11" t="str">
        <x:v>UNKNOWN</x:v>
      </x:c>
      <x:c r="U27" s="11" t="str">
        <x:v>背面电子件 / 正面TX RX</x:v>
      </x:c>
      <x:c r="V27" s="11" t="str">
        <x:v>HOLD</x:v>
      </x:c>
    </x:row>
    <x:row r="28" ht="64" customHeight="1">
      <x:c r="A28" s="11" t="str">
        <x:v>B-024</x:v>
      </x:c>
      <x:c r="B28" s="11" t="str">
        <x:v>独立熔断器及座</x:v>
      </x:c>
      <x:c r="C28" s="11" t="str">
        <x:v>2A 慢断候选，具体值TBD</x:v>
      </x:c>
      <x:c r="D28" s="11" t="str">
        <x:v>UNKNOWN_VERIFY</x:v>
      </x:c>
      <x:c r="E28" s="13" t="n">
        <x:v>0</x:v>
      </x:c>
      <x:c r="F28" s="14" t="n">
        <x:v>0.1</x:v>
      </x:c>
      <x:c r="G28" s="13" t="n">
        <x:f>ROUNDUP(E28*(1+F28),0)</x:f>
        <x:v>0</x:v>
      </x:c>
      <x:c r="H28" s="11" t="str"/>
      <x:c r="I28" s="11" t="str">
        <x:v>TBD; Pin1/EP原生库待核</x:v>
      </x:c>
      <x:c r="J28" s="11" t="str">
        <x:v>3路/需按实测峰值选值</x:v>
      </x:c>
      <x:c r="K28" s="11" t="str">
        <x:v>UNKNOWN</x:v>
      </x:c>
      <x:c r="L28" s="11" t="str">
        <x:v>CENTRAL_USB5V / 3V3</x:v>
      </x:c>
      <x:c r="M28" s="11" t="str">
        <x:v>https://www.lcsc.com</x:v>
      </x:c>
      <x:c r="N28" s="11" t="str">
        <x:v>授权渠道待选；不默认替代</x:v>
      </x:c>
      <x:c r="O28" s="11" t="str">
        <x:v>UNKNOWN_VERIFY</x:v>
      </x:c>
      <x:c r="P28" s="11" t="str">
        <x:v>2026-10-11</x:v>
      </x:c>
      <x:c r="Q28" s="11" t="str">
        <x:v>INHERITED_CANDIDATE_REQUIRES_NATIVE_PIN_REVIEW</x:v>
      </x:c>
      <x:c r="R28" s="11" t="str">
        <x:v>User v5 scope; no procurement permission</x:v>
      </x:c>
      <x:c r="S28" s="11" t="str">
        <x:v>Old eFuse removed; TPS26631 path below is new candidate</x:v>
      </x:c>
      <x:c r="T28" s="11" t="str">
        <x:v>UNKNOWN</x:v>
      </x:c>
      <x:c r="U28" s="11" t="str">
        <x:v>背面电子件 / 正面TX RX</x:v>
      </x:c>
      <x:c r="V28" s="11" t="str">
        <x:v>HOLD</x:v>
      </x:c>
    </x:row>
    <x:row r="29" ht="64" customHeight="1">
      <x:c r="A29" s="11" t="str">
        <x:v>B-025</x:v>
      </x:c>
      <x:c r="B29" s="11" t="str">
        <x:v>板级电源总开关/硬件急停输入</x:v>
      </x:c>
      <x:c r="C29" s="11" t="str">
        <x:v>E-STOP接口 + NC触点/继电开关待定</x:v>
      </x:c>
      <x:c r="D29" s="11" t="str">
        <x:v>UNKNOWN_VERIFY</x:v>
      </x:c>
      <x:c r="E29" s="13" t="n">
        <x:v>0</x:v>
      </x:c>
      <x:c r="F29" s="14" t="n">
        <x:v>0.1</x:v>
      </x:c>
      <x:c r="G29" s="13" t="n">
        <x:f>ROUNDUP(E29*(1+F29),0)</x:f>
        <x:v>0</x:v>
      </x:c>
      <x:c r="H29" s="11" t="str"/>
      <x:c r="I29" s="11" t="str">
        <x:v>TBD; Pin1/EP原生库待核</x:v>
      </x:c>
      <x:c r="J29" s="11" t="str">
        <x:v>硬件切断driver enable或电源域，二选一/组合实测</x:v>
      </x:c>
      <x:c r="K29" s="11" t="str">
        <x:v>UNKNOWN</x:v>
      </x:c>
      <x:c r="L29" s="11" t="str">
        <x:v>CENTRAL_USB5V / 3V3</x:v>
      </x:c>
      <x:c r="M29" s="11" t="str">
        <x:v>https://www.ti.com/product/TPS25947</x:v>
      </x:c>
      <x:c r="N29" s="11" t="str">
        <x:v>授权渠道待选；不默认替代</x:v>
      </x:c>
      <x:c r="O29" s="11" t="str">
        <x:v>UNKNOWN_VERIFY</x:v>
      </x:c>
      <x:c r="P29" s="11" t="str">
        <x:v>2026-10-11</x:v>
      </x:c>
      <x:c r="Q29" s="11" t="str">
        <x:v>INHERITED_CANDIDATE_REQUIRES_NATIVE_PIN_REVIEW</x:v>
      </x:c>
      <x:c r="R29" s="11" t="str">
        <x:v>User v5 scope; no procurement permission</x:v>
      </x:c>
      <x:c r="S29" s="11" t="str">
        <x:v>Inherited candidate quantity; netlist/thermal review pending</x:v>
      </x:c>
      <x:c r="T29" s="11" t="str">
        <x:v>UNKNOWN</x:v>
      </x:c>
      <x:c r="U29" s="11" t="str">
        <x:v>背面电子件 / 正面TX RX</x:v>
      </x:c>
      <x:c r="V29" s="11" t="str">
        <x:v>HOLD</x:v>
      </x:c>
    </x:row>
    <x:row r="30" ht="64" customHeight="1">
      <x:c r="A30" s="11" t="str">
        <x:v>B-026</x:v>
      </x:c>
      <x:c r="B30" s="11" t="str">
        <x:v>本地PGOOD与FAULT反馈电路</x:v>
      </x:c>
      <x:c r="C30" s="11" t="str">
        <x:v>开漏/拉升/隔离网络 TBD</x:v>
      </x:c>
      <x:c r="D30" s="11" t="str">
        <x:v>UNKNOWN_VERIFY</x:v>
      </x:c>
      <x:c r="E30" s="13" t="n">
        <x:v>0</x:v>
      </x:c>
      <x:c r="F30" s="14" t="n">
        <x:v>0.1</x:v>
      </x:c>
      <x:c r="G30" s="13" t="n">
        <x:f>ROUNDUP(E30*(1+F30),0)</x:f>
        <x:v>0</x:v>
      </x:c>
      <x:c r="H30" s="11" t="str"/>
      <x:c r="I30" s="11" t="str">
        <x:v>离散; Pin1/EP原生库待核</x:v>
      </x:c>
      <x:c r="J30" s="11" t="str">
        <x:v>每板输出LOCAL_PGOOD/LOCAL_FAULT</x:v>
      </x:c>
      <x:c r="K30" s="11" t="str">
        <x:v>UNKNOWN</x:v>
      </x:c>
      <x:c r="L30" s="11" t="str">
        <x:v>CENTRAL_USB5V / 3V3</x:v>
      </x:c>
      <x:c r="M30" s="11" t="str">
        <x:v>https://www.ti.com/product/SN74AXC8T245</x:v>
      </x:c>
      <x:c r="N30" s="11" t="str">
        <x:v>授权渠道待选；不默认替代</x:v>
      </x:c>
      <x:c r="O30" s="11" t="str">
        <x:v>UNKNOWN_VERIFY</x:v>
      </x:c>
      <x:c r="P30" s="11" t="str">
        <x:v>2026-10-11</x:v>
      </x:c>
      <x:c r="Q30" s="11" t="str">
        <x:v>INHERITED_CANDIDATE_REQUIRES_NATIVE_PIN_REVIEW</x:v>
      </x:c>
      <x:c r="R30" s="11" t="str">
        <x:v>User v5 scope; no procurement permission</x:v>
      </x:c>
      <x:c r="S30" s="11" t="str">
        <x:v>Inherited candidate quantity; netlist/thermal review pending</x:v>
      </x:c>
      <x:c r="T30" s="11" t="str">
        <x:v>UNKNOWN</x:v>
      </x:c>
      <x:c r="U30" s="11" t="str">
        <x:v>背面电子件 / 正面TX RX</x:v>
      </x:c>
      <x:c r="V30" s="11" t="str">
        <x:v>HOLD</x:v>
      </x:c>
    </x:row>
    <x:row r="31" ht="64" customHeight="1">
      <x:c r="A31" s="11" t="str">
        <x:v>B-027</x:v>
      </x:c>
      <x:c r="B31" s="11" t="str">
        <x:v>3.3V数字电源DC/DC</x:v>
      </x:c>
      <x:c r="C31" s="11" t="str">
        <x:v>TPS54202DDCR</x:v>
      </x:c>
      <x:c r="D31" s="11" t="str">
        <x:v>Texas Instruments</x:v>
      </x:c>
      <x:c r="E31" s="13" t="n">
        <x:v>0</x:v>
      </x:c>
      <x:c r="F31" s="14" t="n">
        <x:v>0.1</x:v>
      </x:c>
      <x:c r="G31" s="13" t="n">
        <x:f>ROUNDUP(E31*(1+F31),0)</x:f>
        <x:v>0</x:v>
      </x:c>
      <x:c r="H31" s="11" t="str"/>
      <x:c r="I31" s="11" t="str">
        <x:v>SOT23_6_DDC; Pin1/EP原生库待核</x:v>
      </x:c>
      <x:c r="J31" s="11" t="str">
        <x:v>每板12V→3.3V；负载核验</x:v>
      </x:c>
      <x:c r="K31" s="11" t="str">
        <x:v>UNKNOWN</x:v>
      </x:c>
      <x:c r="L31" s="11" t="str">
        <x:v>CENTRAL_USB5V / 3V3</x:v>
      </x:c>
      <x:c r="M31" s="11" t="str">
        <x:v>https://www.ti.com/lit/ds/symlink/tps54202.pdf</x:v>
      </x:c>
      <x:c r="N31" s="11" t="str">
        <x:v>授权渠道待选；不默认替代</x:v>
      </x:c>
      <x:c r="O31" s="11" t="str">
        <x:v>UNKNOWN_VERIFY</x:v>
      </x:c>
      <x:c r="P31" s="11" t="str">
        <x:v>2026-10-11</x:v>
      </x:c>
      <x:c r="Q31" s="11" t="str">
        <x:v>INHERITED_CANDIDATE_REQUIRES_NATIVE_PIN_REVIEW</x:v>
      </x:c>
      <x:c r="R31" s="11" t="str">
        <x:v>User v5 scope; no procurement permission</x:v>
      </x:c>
      <x:c r="S31" s="11" t="str">
        <x:v>12V to 3.3V digital; L/C/thermal/EMI design HOLD</x:v>
      </x:c>
      <x:c r="T31" s="11" t="str">
        <x:v>UNKNOWN</x:v>
      </x:c>
      <x:c r="U31" s="11" t="str">
        <x:v>背面电子件 / 正面TX RX</x:v>
      </x:c>
      <x:c r="V31" s="11" t="str">
        <x:v>HOLD</x:v>
      </x:c>
    </x:row>
    <x:row r="32" ht="64" customHeight="1">
      <x:c r="A32" s="11" t="str">
        <x:v>B-028</x:v>
      </x:c>
      <x:c r="B32" s="11" t="str">
        <x:v>5.5V可调DC/DC</x:v>
      </x:c>
      <x:c r="C32" s="11" t="str">
        <x:v>TPS54202DDCR</x:v>
      </x:c>
      <x:c r="D32" s="11" t="str">
        <x:v>Texas Instruments</x:v>
      </x:c>
      <x:c r="E32" s="13" t="n">
        <x:v>0</x:v>
      </x:c>
      <x:c r="F32" s="14" t="n">
        <x:v>0.1</x:v>
      </x:c>
      <x:c r="G32" s="13" t="n">
        <x:f>ROUNDUP(E32*(1+F32),0)</x:f>
        <x:v>0</x:v>
      </x:c>
      <x:c r="H32" s="11" t="str"/>
      <x:c r="I32" s="11" t="str">
        <x:v>SOT23_6_DDC; Pin1/EP原生库待核</x:v>
      </x:c>
      <x:c r="J32" s="11" t="str">
        <x:v>5.5V预稳压+5V LDO；按实际负载核验</x:v>
      </x:c>
      <x:c r="K32" s="11" t="str">
        <x:v>UNKNOWN</x:v>
      </x:c>
      <x:c r="L32" s="11" t="str">
        <x:v>CENTRAL_USB5V / 3V3</x:v>
      </x:c>
      <x:c r="M32" s="11" t="str">
        <x:v>https://www.ti.com/lit/ds/symlink/tps54202.pdf</x:v>
      </x:c>
      <x:c r="N32" s="11" t="str">
        <x:v>授权渠道待选；不默认替代</x:v>
      </x:c>
      <x:c r="O32" s="11" t="str">
        <x:v>UNKNOWN_VERIFY</x:v>
      </x:c>
      <x:c r="P32" s="11" t="str">
        <x:v>2026-10-11</x:v>
      </x:c>
      <x:c r="Q32" s="11" t="str">
        <x:v>INHERITED_CANDIDATE_REQUIRES_NATIVE_PIN_REVIEW</x:v>
      </x:c>
      <x:c r="R32" s="11" t="str">
        <x:v>User v5 scope; no procurement permission</x:v>
      </x:c>
      <x:c r="S32" s="11" t="str">
        <x:v>12V to 5.5V then existing5V AFE LDO; L/C/thermal/EMI design HOLD</x:v>
      </x:c>
      <x:c r="T32" s="11" t="str">
        <x:v>UNKNOWN</x:v>
      </x:c>
      <x:c r="U32" s="11" t="str">
        <x:v>背面电子件 / 正面TX RX</x:v>
      </x:c>
      <x:c r="V32" s="11" t="str">
        <x:v>HOLD</x:v>
      </x:c>
    </x:row>
    <x:row r="33" ht="64" customHeight="1">
      <x:c r="A33" s="11" t="str">
        <x:v>B-029</x:v>
      </x:c>
      <x:c r="B33" s="11" t="str">
        <x:v>5V低噪声LDO</x:v>
      </x:c>
      <x:c r="C33" s="11" t="str">
        <x:v>ADP7118ACPZN5.0-R7</x:v>
      </x:c>
      <x:c r="D33" s="11" t="str">
        <x:v>UNKNOWN_VERIFY</x:v>
      </x:c>
      <x:c r="E33" s="13" t="n">
        <x:v>0</x:v>
      </x:c>
      <x:c r="F33" s="14" t="n">
        <x:v>0.1</x:v>
      </x:c>
      <x:c r="G33" s="13" t="n">
        <x:f>ROUNDUP(E33*(1+F33),0)</x:f>
        <x:v>0</x:v>
      </x:c>
      <x:c r="H33" s="11" t="str"/>
      <x:c r="I33" s="11" t="str">
        <x:v>LFCSP-6 / CP-6-3 (EP=GND); Pin1/EP原生库待核</x:v>
      </x:c>
      <x:c r="J33" s="11" t="str">
        <x:v>输出能力/热耗按精确封装与Iload审核</x:v>
      </x:c>
      <x:c r="K33" s="11" t="str">
        <x:v>UNKNOWN</x:v>
      </x:c>
      <x:c r="L33" s="11" t="str">
        <x:v>CENTRAL_USB5V / 3V3</x:v>
      </x:c>
      <x:c r="M33" s="11" t="str">
        <x:v>https://www.analog.com/en/products/adp7118.html</x:v>
      </x:c>
      <x:c r="N33" s="11" t="str">
        <x:v>授权渠道待选；不默认替代</x:v>
      </x:c>
      <x:c r="O33" s="11" t="str">
        <x:v>UNKNOWN_VERIFY</x:v>
      </x:c>
      <x:c r="P33" s="11" t="str">
        <x:v>2026-10-11</x:v>
      </x:c>
      <x:c r="Q33" s="11" t="str">
        <x:v>INHERITED_CANDIDATE_REQUIRES_NATIVE_PIN_REVIEW</x:v>
      </x:c>
      <x:c r="R33" s="11" t="str">
        <x:v>User v5 scope; no procurement permission</x:v>
      </x:c>
      <x:c r="S33" s="11" t="str">
        <x:v>No central12V supply/converter or5V-to5V LDO headroom; central header budget HOLD</x:v>
      </x:c>
      <x:c r="T33" s="11" t="str">
        <x:v>UNKNOWN</x:v>
      </x:c>
      <x:c r="U33" s="11" t="str">
        <x:v>背面电子件 / 正面TX RX</x:v>
      </x:c>
      <x:c r="V33" s="11" t="str">
        <x:v>HOLD</x:v>
      </x:c>
    </x:row>
    <x:row r="34" ht="64" customHeight="1">
      <x:c r="A34" s="11" t="str">
        <x:v>B-030</x:v>
      </x:c>
      <x:c r="B34" s="11" t="str">
        <x:v>DC/DC功率电感</x:v>
      </x:c>
      <x:c r="C34" s="11" t="str">
        <x:v>6.8µH ≥5A 候选</x:v>
      </x:c>
      <x:c r="D34" s="11" t="str">
        <x:v>UNKNOWN_VERIFY</x:v>
      </x:c>
      <x:c r="E34" s="13" t="n">
        <x:v>0</x:v>
      </x:c>
      <x:c r="F34" s="14" t="n">
        <x:v>0.1</x:v>
      </x:c>
      <x:c r="G34" s="13" t="n">
        <x:f>ROUNDUP(E34*(1+F34),0)</x:f>
        <x:v>0</x:v>
      </x:c>
      <x:c r="H34" s="11" t="str"/>
      <x:c r="I34" s="11" t="str">
        <x:v>SMD; Pin1/EP原生库待核</x:v>
      </x:c>
      <x:c r="J34" s="11" t="str">
        <x:v>两路buck每板2颗</x:v>
      </x:c>
      <x:c r="K34" s="11" t="str">
        <x:v>UNKNOWN</x:v>
      </x:c>
      <x:c r="L34" s="11" t="str">
        <x:v>CENTRAL_USB5V / 3V3</x:v>
      </x:c>
      <x:c r="M34" s="11" t="str">
        <x:v>https://www.diodes.com/part/view/AP63203</x:v>
      </x:c>
      <x:c r="N34" s="11" t="str">
        <x:v>授权渠道待选；不默认替代</x:v>
      </x:c>
      <x:c r="O34" s="11" t="str">
        <x:v>UNKNOWN_VERIFY</x:v>
      </x:c>
      <x:c r="P34" s="11" t="str">
        <x:v>2026-10-11</x:v>
      </x:c>
      <x:c r="Q34" s="11" t="str">
        <x:v>INHERITED_CANDIDATE_REQUIRES_NATIVE_PIN_REVIEW</x:v>
      </x:c>
      <x:c r="R34" s="11" t="str">
        <x:v>User v5 scope; no procurement permission</x:v>
      </x:c>
      <x:c r="S34" s="11" t="str">
        <x:v>No central12V supply/converter or5V-to5V LDO headroom; central header budget HOLD</x:v>
      </x:c>
      <x:c r="T34" s="11" t="str">
        <x:v>UNKNOWN</x:v>
      </x:c>
      <x:c r="U34" s="11" t="str">
        <x:v>背面电子件 / 正面TX RX</x:v>
      </x:c>
      <x:c r="V34" s="11" t="str">
        <x:v>HOLD</x:v>
      </x:c>
    </x:row>
    <x:row r="35" ht="64" customHeight="1">
      <x:c r="A35" s="11" t="str">
        <x:v>B-031</x:v>
      </x:c>
      <x:c r="B35" s="11" t="str">
        <x:v>模拟电源磁珠</x:v>
      </x:c>
      <x:c r="C35" s="11" t="str">
        <x:v>BLM21PG221SN1D</x:v>
      </x:c>
      <x:c r="D35" s="11" t="str">
        <x:v>UNKNOWN_VERIFY</x:v>
      </x:c>
      <x:c r="E35" s="13" t="n">
        <x:v>1</x:v>
      </x:c>
      <x:c r="F35" s="14" t="n">
        <x:v>0.1</x:v>
      </x:c>
      <x:c r="G35" s="13" t="n">
        <x:f>ROUNDUP(E35*(1+F35),0)</x:f>
        <x:v>2</x:v>
      </x:c>
      <x:c r="H35" s="11" t="str">
        <x:v>CE_B031_001</x:v>
      </x:c>
      <x:c r="I35" s="11" t="str">
        <x:v>0805; Pin1/EP原生库待核</x:v>
      </x:c>
      <x:c r="J35" s="11" t="str">
        <x:v>220Ω@100MHz / 2A 标称候选</x:v>
      </x:c>
      <x:c r="K35" s="11" t="str">
        <x:v>UNKNOWN</x:v>
      </x:c>
      <x:c r="L35" s="11" t="str">
        <x:v>CENTRAL_USB5V / 3V3</x:v>
      </x:c>
      <x:c r="M35" s="11" t="str">
        <x:v>https://www.lcsc.com</x:v>
      </x:c>
      <x:c r="N35" s="11" t="str">
        <x:v>授权渠道待选；不默认替代</x:v>
      </x:c>
      <x:c r="O35" s="11" t="str">
        <x:v>UNKNOWN_VERIFY</x:v>
      </x:c>
      <x:c r="P35" s="11" t="str">
        <x:v>2026-10-11</x:v>
      </x:c>
      <x:c r="Q35" s="11" t="str">
        <x:v>INHERITED_CANDIDATE_REQUIRES_NATIVE_PIN_REVIEW</x:v>
      </x:c>
      <x:c r="R35" s="11" t="str">
        <x:v>User v5 scope; no procurement permission</x:v>
      </x:c>
      <x:c r="S35" s="11" t="str">
        <x:v>Inherited candidate quantity; netlist/thermal review pending</x:v>
      </x:c>
      <x:c r="T35" s="11" t="str">
        <x:v>UNKNOWN</x:v>
      </x:c>
      <x:c r="U35" s="11" t="str">
        <x:v>背面电子件 / 正面TX RX</x:v>
      </x:c>
      <x:c r="V35" s="11" t="str">
        <x:v>HOLD</x:v>
      </x:c>
    </x:row>
    <x:row r="36" ht="64" customHeight="1">
      <x:c r="A36" s="11" t="str">
        <x:v>B-032</x:v>
      </x:c>
      <x:c r="B36" s="11" t="str">
        <x:v>PCB板温监测</x:v>
      </x:c>
      <x:c r="C36" s="11" t="str">
        <x:v>TMP117AIDRVR</x:v>
      </x:c>
      <x:c r="D36" s="11" t="str">
        <x:v>Texas Instruments</x:v>
      </x:c>
      <x:c r="E36" s="13" t="n">
        <x:v>1</x:v>
      </x:c>
      <x:c r="F36" s="14" t="n">
        <x:v>0.1</x:v>
      </x:c>
      <x:c r="G36" s="13" t="n">
        <x:f>ROUNDUP(E36*(1+F36),0)</x:f>
        <x:v>2</x:v>
      </x:c>
      <x:c r="H36" s="11" t="str">
        <x:v>CE_B032_001</x:v>
      </x:c>
      <x:c r="I36" s="11" t="str">
        <x:v>WSON-6; Pin1/EP原生库待核</x:v>
      </x:c>
      <x:c r="J36" s="11" t="str">
        <x:v>监测驱动温度，不等于空气温湿度</x:v>
      </x:c>
      <x:c r="K36" s="11" t="str">
        <x:v>UNKNOWN</x:v>
      </x:c>
      <x:c r="L36" s="11" t="str">
        <x:v>CENTRAL_USB5V / 3V3</x:v>
      </x:c>
      <x:c r="M36" s="11" t="str">
        <x:v>https://www.ti.com/lit/ds/symlink/tmp117.pdf</x:v>
      </x:c>
      <x:c r="N36" s="11" t="str">
        <x:v>授权渠道待选；不默认替代</x:v>
      </x:c>
      <x:c r="O36" s="11" t="str">
        <x:v>Rev.D</x:v>
      </x:c>
      <x:c r="P36" s="11" t="str">
        <x:v>2026-10-11</x:v>
      </x:c>
      <x:c r="Q36" s="11" t="str">
        <x:v>DESIGN_SELECTED_PACKAGE_PIN_REVIEW_HOLD</x:v>
      </x:c>
      <x:c r="R36" s="11" t="str">
        <x:v>User v5 scope; no procurement permission</x:v>
      </x:c>
      <x:c r="S36" s="11" t="str">
        <x:v>3 sensors required; CENTER air representative away from heat; UP0x49/DOWN0x4b/CENTER0x48; read ID/readiness and bounded bus; no temperatureCRC</x:v>
      </x:c>
      <x:c r="T36" s="11" t="str">
        <x:v>UNKNOWN</x:v>
      </x:c>
      <x:c r="U36" s="11" t="str">
        <x:v>背面电子件 / 正面TX RX</x:v>
      </x:c>
      <x:c r="V36" s="11" t="str">
        <x:v>HOLD</x:v>
      </x:c>
    </x:row>
    <x:row r="37" ht="64" customHeight="1">
      <x:c r="A37" s="11" t="str">
        <x:v>B-033</x:v>
      </x:c>
      <x:c r="B37" s="11" t="str">
        <x:v>AX7020 J10/J11对接端子</x:v>
      </x:c>
      <x:c r="C37" s="11" t="str">
        <x:v>2×20 2.54mm 对应插座/转接线（按实板决定）</x:v>
      </x:c>
      <x:c r="D37" s="11" t="str">
        <x:v>UNKNOWN_VERIFY</x:v>
      </x:c>
      <x:c r="E37" s="13" t="n">
        <x:v>2</x:v>
      </x:c>
      <x:c r="F37" s="14" t="n">
        <x:v>0.1</x:v>
      </x:c>
      <x:c r="G37" s="13" t="n">
        <x:f>ROUNDUP(E37*(1+F37),0)</x:f>
        <x:v>3</x:v>
      </x:c>
      <x:c r="H37" s="11" t="str">
        <x:v>CE_B033_001, CE_B033_002</x:v>
      </x:c>
      <x:c r="I37" s="11" t="str">
        <x:v>THT/线束TBD; Pin1/EP原生库待核</x:v>
      </x:c>
      <x:c r="J37" s="11" t="str">
        <x:v>2套对应PL扩展口；针脚编号必须实测</x:v>
      </x:c>
      <x:c r="K37" s="11" t="str">
        <x:v>UNKNOWN</x:v>
      </x:c>
      <x:c r="L37" s="11" t="str">
        <x:v>CENTRAL_USB5V / 3V3</x:v>
      </x:c>
      <x:c r="M37" s="11" t="str">
        <x:v>https://www.alinx.com/public/upload/file/AX7020_UG.pdf</x:v>
      </x:c>
      <x:c r="N37" s="11" t="str">
        <x:v>授权渠道待选；不默认替代</x:v>
      </x:c>
      <x:c r="O37" s="11" t="str">
        <x:v>UNKNOWN_VERIFY</x:v>
      </x:c>
      <x:c r="P37" s="11" t="str">
        <x:v>2026-10-11</x:v>
      </x:c>
      <x:c r="Q37" s="11" t="str">
        <x:v>INHERITED_CANDIDATE_REQUIRES_NATIVE_PIN_REVIEW</x:v>
      </x:c>
      <x:c r="R37" s="11" t="str">
        <x:v>User v5 scope; no procurement permission</x:v>
      </x:c>
      <x:c r="S37" s="11" t="str">
        <x:v>Inherited candidate quantity; netlist/thermal review pending</x:v>
      </x:c>
      <x:c r="T37" s="11" t="str">
        <x:v>UNKNOWN</x:v>
      </x:c>
      <x:c r="U37" s="11" t="str">
        <x:v>背面电子件 / 正面TX RX</x:v>
      </x:c>
      <x:c r="V37" s="11" t="str">
        <x:v>HOLD</x:v>
      </x:c>
    </x:row>
    <x:row r="38" ht="64" customHeight="1">
      <x:c r="A38" s="11" t="str">
        <x:v>B-034</x:v>
      </x:c>
      <x:c r="B38" s="11" t="str">
        <x:v>50芯独立数据接头</x:v>
      </x:c>
      <x:c r="C38" s="11" t="str">
        <x:v>2×25 IDC防呆（候选）</x:v>
      </x:c>
      <x:c r="D38" s="11" t="str">
        <x:v>UNKNOWN_VERIFY</x:v>
      </x:c>
      <x:c r="E38" s="13" t="n">
        <x:v>0</x:v>
      </x:c>
      <x:c r="F38" s="14" t="n">
        <x:v>0.1</x:v>
      </x:c>
      <x:c r="G38" s="13" t="n">
        <x:f>ROUNDUP(E38*(1+F38),0)</x:f>
        <x:v>0</x:v>
      </x:c>
      <x:c r="H38" s="11" t="str"/>
      <x:c r="I38" s="11" t="str">
        <x:v>THT; Pin1/EP原生库待核</x:v>
      </x:c>
      <x:c r="J38" s="11" t="str">
        <x:v>每板1个，高速数据+GND相邻，不能当成最终可用66MHz</x:v>
      </x:c>
      <x:c r="K38" s="11" t="str">
        <x:v>UNKNOWN</x:v>
      </x:c>
      <x:c r="L38" s="11" t="str">
        <x:v>CENTRAL_USB5V / 3V3</x:v>
      </x:c>
      <x:c r="M38" s="11" t="str">
        <x:v>https://www.lcsc.com/custom-cable-assembly</x:v>
      </x:c>
      <x:c r="N38" s="11" t="str">
        <x:v>授权渠道待选；不默认替代</x:v>
      </x:c>
      <x:c r="O38" s="11" t="str">
        <x:v>UNKNOWN_VERIFY</x:v>
      </x:c>
      <x:c r="P38" s="11" t="str">
        <x:v>2026-10-11</x:v>
      </x:c>
      <x:c r="Q38" s="11" t="str">
        <x:v>INHERITED_CANDIDATE_REQUIRES_NATIVE_PIN_REVIEW</x:v>
      </x:c>
      <x:c r="R38" s="11" t="str">
        <x:v>User v5 scope; no procurement permission</x:v>
      </x:c>
      <x:c r="S38" s="11" t="str">
        <x:v>Inherited candidate quantity; netlist/thermal review pending</x:v>
      </x:c>
      <x:c r="T38" s="11" t="str">
        <x:v>UNKNOWN</x:v>
      </x:c>
      <x:c r="U38" s="11" t="str">
        <x:v>背面电子件 / 正面TX RX</x:v>
      </x:c>
      <x:c r="V38" s="11" t="str">
        <x:v>HOLD</x:v>
      </x:c>
    </x:row>
    <x:row r="39" ht="64" customHeight="1">
      <x:c r="A39" s="11" t="str">
        <x:v>B-035</x:v>
      </x:c>
      <x:c r="B39" s="11" t="str">
        <x:v>数字数据扇出接口</x:v>
      </x:c>
      <x:c r="C39" s="11" t="str">
        <x:v>2×25 IDC防呆（候选）</x:v>
      </x:c>
      <x:c r="D39" s="11" t="str">
        <x:v>UNKNOWN_VERIFY</x:v>
      </x:c>
      <x:c r="E39" s="13" t="n">
        <x:v>2</x:v>
      </x:c>
      <x:c r="F39" s="14" t="n">
        <x:v>0.1</x:v>
      </x:c>
      <x:c r="G39" s="13" t="n">
        <x:f>ROUNDUP(E39*(1+F39),0)</x:f>
        <x:v>3</x:v>
      </x:c>
      <x:c r="H39" s="11" t="str">
        <x:v>CE_B035_001, CE_B035_002</x:v>
      </x:c>
      <x:c r="I39" s="11" t="str">
        <x:v>THT; Pin1/EP原生库待核</x:v>
      </x:c>
      <x:c r="J39" s="11" t="str">
        <x:v>上下各一个，配合Array接口</x:v>
      </x:c>
      <x:c r="K39" s="11" t="str">
        <x:v>UNKNOWN</x:v>
      </x:c>
      <x:c r="L39" s="11" t="str">
        <x:v>CENTRAL_USB5V / 3V3</x:v>
      </x:c>
      <x:c r="M39" s="11" t="str">
        <x:v>https://www.lcsc.com/custom-cable-assembly</x:v>
      </x:c>
      <x:c r="N39" s="11" t="str">
        <x:v>授权渠道待选；不默认替代</x:v>
      </x:c>
      <x:c r="O39" s="11" t="str">
        <x:v>UNKNOWN_VERIFY</x:v>
      </x:c>
      <x:c r="P39" s="11" t="str">
        <x:v>2026-10-11</x:v>
      </x:c>
      <x:c r="Q39" s="11" t="str">
        <x:v>INHERITED_CANDIDATE_REQUIRES_NATIVE_PIN_REVIEW</x:v>
      </x:c>
      <x:c r="R39" s="11" t="str">
        <x:v>User v5 scope; no procurement permission</x:v>
      </x:c>
      <x:c r="S39" s="11" t="str">
        <x:v>Inherited candidate quantity; netlist/thermal review pending</x:v>
      </x:c>
      <x:c r="T39" s="11" t="str">
        <x:v>UNKNOWN</x:v>
      </x:c>
      <x:c r="U39" s="11" t="str">
        <x:v>背面电子件 / 正面TX RX</x:v>
      </x:c>
      <x:c r="V39" s="11" t="str">
        <x:v>HOLD</x:v>
      </x:c>
    </x:row>
    <x:row r="40" ht="64" customHeight="1">
      <x:c r="A40" s="11" t="str">
        <x:v>B-036</x:v>
      </x:c>
      <x:c r="B40" s="11" t="str">
        <x:v>8芯4对模拟RX接口</x:v>
      </x:c>
      <x:c r="C40" s="11" t="str">
        <x:v>不带变压器的被动8P8C/屏蔽连接器</x:v>
      </x:c>
      <x:c r="D40" s="11" t="str">
        <x:v>UNKNOWN_VERIFY</x:v>
      </x:c>
      <x:c r="E40" s="13" t="n">
        <x:v>2</x:v>
      </x:c>
      <x:c r="F40" s="14" t="n">
        <x:v>0.1</x:v>
      </x:c>
      <x:c r="G40" s="13" t="n">
        <x:f>ROUNDUP(E40*(1+F40),0)</x:f>
        <x:v>3</x:v>
      </x:c>
      <x:c r="H40" s="11" t="str">
        <x:v>CE_B036_001, CE_B036_002</x:v>
      </x:c>
      <x:c r="I40" s="11" t="str">
        <x:v>THT; Pin1/EP原生库待核</x:v>
      </x:c>
      <x:c r="J40" s="11" t="str">
        <x:v>上/下阵列各1个，中央2个，明确标非以太网</x:v>
      </x:c>
      <x:c r="K40" s="11" t="str">
        <x:v>UNKNOWN</x:v>
      </x:c>
      <x:c r="L40" s="11" t="str">
        <x:v>CENTRAL_USB5V / 3V3</x:v>
      </x:c>
      <x:c r="M40" s="11" t="str">
        <x:v>https://www.lcsc.com</x:v>
      </x:c>
      <x:c r="N40" s="11" t="str">
        <x:v>授权渠道待选；不默认替代</x:v>
      </x:c>
      <x:c r="O40" s="11" t="str">
        <x:v>UNKNOWN_VERIFY</x:v>
      </x:c>
      <x:c r="P40" s="11" t="str">
        <x:v>2026-10-11</x:v>
      </x:c>
      <x:c r="Q40" s="11" t="str">
        <x:v>INHERITED_CANDIDATE_REQUIRES_NATIVE_PIN_REVIEW</x:v>
      </x:c>
      <x:c r="R40" s="11" t="str">
        <x:v>User v5 scope; no procurement permission</x:v>
      </x:c>
      <x:c r="S40" s="11" t="str">
        <x:v>Inherited candidate quantity; netlist/thermal review pending</x:v>
      </x:c>
      <x:c r="T40" s="11" t="str">
        <x:v>UNKNOWN</x:v>
      </x:c>
      <x:c r="U40" s="11" t="str">
        <x:v>背面电子件 / 正面TX RX</x:v>
      </x:c>
      <x:c r="V40" s="11" t="str">
        <x:v>HOLD</x:v>
      </x:c>
    </x:row>
    <x:row r="41" ht="64" customHeight="1">
      <x:c r="A41" s="11" t="str">
        <x:v>B-037</x:v>
      </x:c>
      <x:c r="B41" s="11" t="str">
        <x:v>远端I2C环境传感器插座</x:v>
      </x:c>
      <x:c r="C41" s="11" t="str">
        <x:v>JST XH 4P</x:v>
      </x:c>
      <x:c r="D41" s="11" t="str">
        <x:v>UNKNOWN_VERIFY</x:v>
      </x:c>
      <x:c r="E41" s="13" t="n">
        <x:v>1</x:v>
      </x:c>
      <x:c r="F41" s="14" t="n">
        <x:v>0.1</x:v>
      </x:c>
      <x:c r="G41" s="13" t="n">
        <x:f>ROUNDUP(E41*(1+F41),0)</x:f>
        <x:v>2</x:v>
      </x:c>
      <x:c r="H41" s="11" t="str">
        <x:v>CE_B037_001</x:v>
      </x:c>
      <x:c r="I41" s="11" t="str">
        <x:v>THT; Pin1/EP原生库待核</x:v>
      </x:c>
      <x:c r="J41" s="11" t="str">
        <x:v>3.3V/GND/SDA/SCL；电源来自中央辅助电源</x:v>
      </x:c>
      <x:c r="K41" s="11" t="str">
        <x:v>UNKNOWN</x:v>
      </x:c>
      <x:c r="L41" s="11" t="str">
        <x:v>CENTRAL_USB5V / 3V3</x:v>
      </x:c>
      <x:c r="M41" s="11" t="str">
        <x:v>https://www.lcsc.com</x:v>
      </x:c>
      <x:c r="N41" s="11" t="str">
        <x:v>授权渠道待选；不默认替代</x:v>
      </x:c>
      <x:c r="O41" s="11" t="str">
        <x:v>UNKNOWN_VERIFY</x:v>
      </x:c>
      <x:c r="P41" s="11" t="str">
        <x:v>2026-10-11</x:v>
      </x:c>
      <x:c r="Q41" s="11" t="str">
        <x:v>INHERITED_CANDIDATE_REQUIRES_NATIVE_PIN_REVIEW</x:v>
      </x:c>
      <x:c r="R41" s="11" t="str">
        <x:v>User v5 scope; no procurement permission</x:v>
      </x:c>
      <x:c r="S41" s="11" t="str">
        <x:v>Inherited candidate quantity; netlist/thermal review pending</x:v>
      </x:c>
      <x:c r="T41" s="11" t="str">
        <x:v>UNKNOWN</x:v>
      </x:c>
      <x:c r="U41" s="11" t="str">
        <x:v>背面电子件 / 正面TX RX</x:v>
      </x:c>
      <x:c r="V41" s="11" t="str">
        <x:v>HOLD</x:v>
      </x:c>
    </x:row>
    <x:row r="42" ht="64" customHeight="1">
      <x:c r="A42" s="11" t="str">
        <x:v>B-038</x:v>
      </x:c>
      <x:c r="B42" s="11" t="str">
        <x:v>远端I2C接口</x:v>
      </x:c>
      <x:c r="C42" s="11" t="str">
        <x:v>JST XH 4P</x:v>
      </x:c>
      <x:c r="D42" s="11" t="str">
        <x:v>UNKNOWN_VERIFY</x:v>
      </x:c>
      <x:c r="E42" s="13" t="n">
        <x:v>0</x:v>
      </x:c>
      <x:c r="F42" s="14" t="n">
        <x:v>0.1</x:v>
      </x:c>
      <x:c r="G42" s="13" t="n">
        <x:f>ROUNDUP(E42*(1+F42),0)</x:f>
        <x:v>0</x:v>
      </x:c>
      <x:c r="H42" s="11" t="str"/>
      <x:c r="I42" s="11" t="str">
        <x:v>THT; Pin1/EP原生库待核</x:v>
      </x:c>
      <x:c r="J42" s="11" t="str">
        <x:v>XH 4pin端子</x:v>
      </x:c>
      <x:c r="K42" s="11" t="str">
        <x:v>UNKNOWN</x:v>
      </x:c>
      <x:c r="L42" s="11" t="str">
        <x:v>CENTRAL_USB5V / 3V3</x:v>
      </x:c>
      <x:c r="M42" s="11" t="str">
        <x:v>https://www.lcsc.com</x:v>
      </x:c>
      <x:c r="N42" s="11" t="str">
        <x:v>授权渠道待选；不默认替代</x:v>
      </x:c>
      <x:c r="O42" s="11" t="str">
        <x:v>UNKNOWN_VERIFY</x:v>
      </x:c>
      <x:c r="P42" s="11" t="str">
        <x:v>2026-10-11</x:v>
      </x:c>
      <x:c r="Q42" s="11" t="str">
        <x:v>INHERITED_CANDIDATE_REQUIRES_NATIVE_PIN_REVIEW</x:v>
      </x:c>
      <x:c r="R42" s="11" t="str">
        <x:v>User v5 scope; no procurement permission</x:v>
      </x:c>
      <x:c r="S42" s="11" t="str">
        <x:v>Inherited candidate quantity; netlist/thermal review pending</x:v>
      </x:c>
      <x:c r="T42" s="11" t="str">
        <x:v>UNKNOWN</x:v>
      </x:c>
      <x:c r="U42" s="11" t="str">
        <x:v>背面电子件 / 正面TX RX</x:v>
      </x:c>
      <x:c r="V42" s="11" t="str">
        <x:v>HOLD</x:v>
      </x:c>
    </x:row>
    <x:row r="43" ht="64" customHeight="1">
      <x:c r="A43" s="11" t="str">
        <x:v>B-039</x:v>
      </x:c>
      <x:c r="B43" s="11" t="str">
        <x:v>上下独立电源线束</x:v>
      </x:c>
      <x:c r="C43" s="11" t="str">
        <x:v>DC5P5x2P5_CENTER_POSITIVE_LEAD_TBD</x:v>
      </x:c>
      <x:c r="D43" s="11" t="str">
        <x:v>UNKNOWN_VERIFY</x:v>
      </x:c>
      <x:c r="E43" s="13" t="n">
        <x:v>0</x:v>
      </x:c>
      <x:c r="F43" s="14" t="n">
        <x:v>0.1</x:v>
      </x:c>
      <x:c r="G43" s="13" t="n">
        <x:f>ROUNDUP(E43*(1+F43),0)</x:f>
        <x:v>0</x:v>
      </x:c>
      <x:c r="H43" s="11" t="str"/>
      <x:c r="I43" s="11" t="str">
        <x:v>外置; Pin1/EP原生库待核</x:v>
      </x:c>
      <x:c r="J43" s="11" t="str">
        <x:v>各板单独从外置供电装置接线</x:v>
      </x:c>
      <x:c r="K43" s="11" t="str">
        <x:v>UNKNOWN</x:v>
      </x:c>
      <x:c r="L43" s="11" t="str">
        <x:v>CENTRAL_USB5V / 3V3</x:v>
      </x:c>
      <x:c r="M43" s="11" t="str">
        <x:v>https://www.lcsc.com/custom-cable-assembly</x:v>
      </x:c>
      <x:c r="N43" s="11" t="str">
        <x:v>授权渠道待选；不默认替代</x:v>
      </x:c>
      <x:c r="O43" s="11" t="str">
        <x:v>UNKNOWN_VERIFY</x:v>
      </x:c>
      <x:c r="P43" s="11" t="str">
        <x:v>2026-10-11</x:v>
      </x:c>
      <x:c r="Q43" s="11" t="str">
        <x:v>INHERITED_CANDIDATE_REQUIRES_NATIVE_PIN_REVIEW</x:v>
      </x:c>
      <x:c r="R43" s="11" t="str">
        <x:v>User v5 scope; no procurement permission</x:v>
      </x:c>
      <x:c r="S43" s="11" t="str">
        <x:v>5A nominal path; wire/fuse/plug length/temperature verification HOLD</x:v>
      </x:c>
      <x:c r="T43" s="11" t="str">
        <x:v>UNKNOWN</x:v>
      </x:c>
      <x:c r="U43" s="11" t="str">
        <x:v>背面电子件 / 正面TX RX</x:v>
      </x:c>
      <x:c r="V43" s="11" t="str">
        <x:v>HOLD</x:v>
      </x:c>
    </x:row>
    <x:row r="44" ht="64" customHeight="1">
      <x:c r="A44" s="11" t="str">
        <x:v>B-040</x:v>
      </x:c>
      <x:c r="B44" s="11" t="str">
        <x:v>中央辅助电源线束</x:v>
      </x:c>
      <x:c r="C44" s="11" t="str">
        <x:v>XT30 2P线束</x:v>
      </x:c>
      <x:c r="D44" s="11" t="str">
        <x:v>UNKNOWN_VERIFY</x:v>
      </x:c>
      <x:c r="E44" s="13" t="n">
        <x:v>0</x:v>
      </x:c>
      <x:c r="F44" s="14" t="n">
        <x:v>0.1</x:v>
      </x:c>
      <x:c r="G44" s="13" t="n">
        <x:f>ROUNDUP(E44*(1+F44),0)</x:f>
        <x:v>0</x:v>
      </x:c>
      <x:c r="H44" s="11" t="str"/>
      <x:c r="I44" s="11" t="str">
        <x:v>外置; Pin1/EP原生库待核</x:v>
      </x:c>
      <x:c r="J44" s="11" t="str">
        <x:v>独立于两阵列的ADC/逻辑输入</x:v>
      </x:c>
      <x:c r="K44" s="11" t="str">
        <x:v>UNKNOWN</x:v>
      </x:c>
      <x:c r="L44" s="11" t="str">
        <x:v>CENTRAL_USB5V / 3V3</x:v>
      </x:c>
      <x:c r="M44" s="11" t="str">
        <x:v>https://www.lcsc.com/custom-cable-assembly</x:v>
      </x:c>
      <x:c r="N44" s="11" t="str">
        <x:v>授权渠道待选；不默认替代</x:v>
      </x:c>
      <x:c r="O44" s="11" t="str">
        <x:v>UNKNOWN_VERIFY</x:v>
      </x:c>
      <x:c r="P44" s="11" t="str">
        <x:v>2026-10-11</x:v>
      </x:c>
      <x:c r="Q44" s="11" t="str">
        <x:v>INHERITED_CANDIDATE_REQUIRES_NATIVE_PIN_REVIEW</x:v>
      </x:c>
      <x:c r="R44" s="11" t="str">
        <x:v>User v5 scope; no procurement permission</x:v>
      </x:c>
      <x:c r="S44" s="11" t="str">
        <x:v>Removed central external power path; central AX7020-only source</x:v>
      </x:c>
      <x:c r="T44" s="11" t="str">
        <x:v>UNKNOWN</x:v>
      </x:c>
      <x:c r="U44" s="11" t="str">
        <x:v>背面电子件 / 正面TX RX</x:v>
      </x:c>
      <x:c r="V44" s="11" t="str">
        <x:v>HOLD</x:v>
      </x:c>
    </x:row>
    <x:row r="45" ht="64" customHeight="1">
      <x:c r="A45" s="11" t="str">
        <x:v>B-041</x:v>
      </x:c>
      <x:c r="B45" s="11" t="str">
        <x:v>上/下数字线束</x:v>
      </x:c>
      <x:c r="C45" s="11" t="str">
        <x:v>50芯IDC定长≤20cm仅初选</x:v>
      </x:c>
      <x:c r="D45" s="11" t="str">
        <x:v>UNKNOWN_VERIFY</x:v>
      </x:c>
      <x:c r="E45" s="13" t="n">
        <x:v>0</x:v>
      </x:c>
      <x:c r="F45" s="14" t="n">
        <x:v>0.1</x:v>
      </x:c>
      <x:c r="G45" s="13" t="n">
        <x:f>ROUNDUP(E45*(1+F45),0)</x:f>
        <x:v>0</x:v>
      </x:c>
      <x:c r="H45" s="11" t="str"/>
      <x:c r="I45" s="11" t="str">
        <x:v>线束; Pin1/EP原生库待核</x:v>
      </x:c>
      <x:c r="J45" s="11" t="str">
        <x:v>每阵列1条；需屏蔽/回流/时序验证</x:v>
      </x:c>
      <x:c r="K45" s="11" t="str">
        <x:v>UNKNOWN</x:v>
      </x:c>
      <x:c r="L45" s="11" t="str">
        <x:v>CENTRAL_USB5V / 3V3</x:v>
      </x:c>
      <x:c r="M45" s="11" t="str">
        <x:v>https://www.lcsc.com/custom-cable-assembly</x:v>
      </x:c>
      <x:c r="N45" s="11" t="str">
        <x:v>授权渠道待选；不默认替代</x:v>
      </x:c>
      <x:c r="O45" s="11" t="str">
        <x:v>UNKNOWN_VERIFY</x:v>
      </x:c>
      <x:c r="P45" s="11" t="str">
        <x:v>2026-10-11</x:v>
      </x:c>
      <x:c r="Q45" s="11" t="str">
        <x:v>INHERITED_CANDIDATE_REQUIRES_NATIVE_PIN_REVIEW</x:v>
      </x:c>
      <x:c r="R45" s="11" t="str">
        <x:v>User v5 scope; no procurement permission</x:v>
      </x:c>
      <x:c r="S45" s="11" t="str">
        <x:v>SUPERSEDED_OR_OPTIONAL_DNP: see new H entries; not installed twice</x:v>
      </x:c>
      <x:c r="T45" s="11" t="str">
        <x:v>UNKNOWN</x:v>
      </x:c>
      <x:c r="U45" s="11" t="str">
        <x:v>背面电子件 / 正面TX RX</x:v>
      </x:c>
      <x:c r="V45" s="11" t="str">
        <x:v>HOLD</x:v>
      </x:c>
    </x:row>
    <x:row r="46" ht="64" customHeight="1">
      <x:c r="A46" s="11" t="str">
        <x:v>B-042</x:v>
      </x:c>
      <x:c r="B46" s="11" t="str">
        <x:v>上/下RX信号线束</x:v>
      </x:c>
      <x:c r="C46" s="11" t="str">
        <x:v>屏蔽4对模拟线（独立专用）</x:v>
      </x:c>
      <x:c r="D46" s="11" t="str">
        <x:v>UNKNOWN_VERIFY</x:v>
      </x:c>
      <x:c r="E46" s="13" t="n">
        <x:v>0</x:v>
      </x:c>
      <x:c r="F46" s="14" t="n">
        <x:v>0.1</x:v>
      </x:c>
      <x:c r="G46" s="13" t="n">
        <x:f>ROUNDUP(E46*(1+F46),0)</x:f>
        <x:v>0</x:v>
      </x:c>
      <x:c r="H46" s="11" t="str"/>
      <x:c r="I46" s="11" t="str">
        <x:v>线束; Pin1/EP原生库待核</x:v>
      </x:c>
      <x:c r="J46" s="11" t="str">
        <x:v>每阵列1条；建议远离TX与功率</x:v>
      </x:c>
      <x:c r="K46" s="11" t="str">
        <x:v>UNKNOWN</x:v>
      </x:c>
      <x:c r="L46" s="11" t="str">
        <x:v>CENTRAL_USB5V / 3V3</x:v>
      </x:c>
      <x:c r="M46" s="11" t="str">
        <x:v>https://www.lcsc.com/custom-cable-assembly</x:v>
      </x:c>
      <x:c r="N46" s="11" t="str">
        <x:v>授权渠道待选；不默认替代</x:v>
      </x:c>
      <x:c r="O46" s="11" t="str">
        <x:v>UNKNOWN_VERIFY</x:v>
      </x:c>
      <x:c r="P46" s="11" t="str">
        <x:v>2026-10-11</x:v>
      </x:c>
      <x:c r="Q46" s="11" t="str">
        <x:v>INHERITED_CANDIDATE_REQUIRES_NATIVE_PIN_REVIEW</x:v>
      </x:c>
      <x:c r="R46" s="11" t="str">
        <x:v>User v5 scope; no procurement permission</x:v>
      </x:c>
      <x:c r="S46" s="11" t="str">
        <x:v>SUPERSEDED_OR_OPTIONAL_DNP: see new H entries; not installed twice</x:v>
      </x:c>
      <x:c r="T46" s="11" t="str">
        <x:v>UNKNOWN</x:v>
      </x:c>
      <x:c r="U46" s="11" t="str">
        <x:v>背面电子件 / 正面TX RX</x:v>
      </x:c>
      <x:c r="V46" s="11" t="str">
        <x:v>HOLD</x:v>
      </x:c>
    </x:row>
    <x:row r="47" ht="64" customHeight="1">
      <x:c r="A47" s="11" t="str">
        <x:v>B-043</x:v>
      </x:c>
      <x:c r="B47" s="11" t="str">
        <x:v>AX7020到中央适配线束</x:v>
      </x:c>
      <x:c r="C47" s="11" t="str">
        <x:v>J10/J11对应双40针连接（实板决定）</x:v>
      </x:c>
      <x:c r="D47" s="11" t="str">
        <x:v>UNKNOWN_VERIFY</x:v>
      </x:c>
      <x:c r="E47" s="13" t="n">
        <x:v>0</x:v>
      </x:c>
      <x:c r="F47" s="14" t="n">
        <x:v>0.1</x:v>
      </x:c>
      <x:c r="G47" s="13" t="n">
        <x:f>ROUNDUP(E47*(1+F47),0)</x:f>
        <x:v>0</x:v>
      </x:c>
      <x:c r="H47" s="11" t="str"/>
      <x:c r="I47" s="11" t="str">
        <x:v>线束; Pin1/EP原生库待核</x:v>
      </x:c>
      <x:c r="J47" s="11" t="str">
        <x:v>连通PS/PL，无功率路径</x:v>
      </x:c>
      <x:c r="K47" s="11" t="str">
        <x:v>UNKNOWN</x:v>
      </x:c>
      <x:c r="L47" s="11" t="str">
        <x:v>CENTRAL_USB5V / 3V3</x:v>
      </x:c>
      <x:c r="M47" s="11" t="str">
        <x:v>https://www.alinx.com/public/upload/file/AX7020_UG.pdf</x:v>
      </x:c>
      <x:c r="N47" s="11" t="str">
        <x:v>授权渠道待选；不默认替代</x:v>
      </x:c>
      <x:c r="O47" s="11" t="str">
        <x:v>UNKNOWN_VERIFY</x:v>
      </x:c>
      <x:c r="P47" s="11" t="str">
        <x:v>2026-10-11</x:v>
      </x:c>
      <x:c r="Q47" s="11" t="str">
        <x:v>INHERITED_CANDIDATE_REQUIRES_NATIVE_PIN_REVIEW</x:v>
      </x:c>
      <x:c r="R47" s="11" t="str">
        <x:v>User v5 scope; no procurement permission</x:v>
      </x:c>
      <x:c r="S47" s="11" t="str">
        <x:v>Inherited candidate quantity; netlist/thermal review pending</x:v>
      </x:c>
      <x:c r="T47" s="11" t="str">
        <x:v>UNKNOWN</x:v>
      </x:c>
      <x:c r="U47" s="11" t="str">
        <x:v>背面电子件 / 正面TX RX</x:v>
      </x:c>
      <x:c r="V47" s="11" t="str">
        <x:v>HOLD</x:v>
      </x:c>
    </x:row>
    <x:row r="48" ht="64" customHeight="1">
      <x:c r="A48" s="11" t="str">
        <x:v>B-044</x:v>
      </x:c>
      <x:c r="B48" s="11" t="str">
        <x:v>双路限流可调直流电源</x:v>
      </x:c>
      <x:c r="C48" s="11" t="str">
        <x:v>12V 5A supply candidate (each)</x:v>
      </x:c>
      <x:c r="D48" s="11" t="str">
        <x:v>UNKNOWN_VERIFY</x:v>
      </x:c>
      <x:c r="E48" s="13" t="n">
        <x:v>0</x:v>
      </x:c>
      <x:c r="F48" s="14" t="n">
        <x:v>0.1</x:v>
      </x:c>
      <x:c r="G48" s="13" t="n">
        <x:f>ROUNDUP(E48*(1+F48),0)</x:f>
        <x:v>0</x:v>
      </x:c>
      <x:c r="H48" s="11" t="str"/>
      <x:c r="I48" s="11" t="str">
        <x:v>设备; Pin1/EP原生库待核</x:v>
      </x:c>
      <x:c r="J48" s="11" t="str">
        <x:v>两个阵列独立可断电、可调限流</x:v>
      </x:c>
      <x:c r="K48" s="11" t="str">
        <x:v>UNKNOWN</x:v>
      </x:c>
      <x:c r="L48" s="11" t="str">
        <x:v>CENTRAL_USB5V / 3V3</x:v>
      </x:c>
      <x:c r="M48" s="11" t="str">
        <x:v>https://www.meanwell.com/webapp/product/search.aspx?prod=GST120A</x:v>
      </x:c>
      <x:c r="N48" s="11" t="str">
        <x:v>授权渠道待选；不默认替代</x:v>
      </x:c>
      <x:c r="O48" s="11" t="str">
        <x:v>UNKNOWN_VERIFY</x:v>
      </x:c>
      <x:c r="P48" s="11" t="str">
        <x:v>2026-10-11</x:v>
      </x:c>
      <x:c r="Q48" s="11" t="str">
        <x:v>INHERITED_CANDIDATE_REQUIRES_NATIVE_PIN_REVIEW</x:v>
      </x:c>
      <x:c r="R48" s="11" t="str">
        <x:v>User v5 scope; no procurement permission</x:v>
      </x:c>
      <x:c r="S48" s="11" t="str">
        <x:v>SUPERSEDED_OR_OPTIONAL_DNP: see new H entries; not installed twice</x:v>
      </x:c>
      <x:c r="T48" s="11" t="str">
        <x:v>UNKNOWN</x:v>
      </x:c>
      <x:c r="U48" s="11" t="str">
        <x:v>背面电子件 / 正面TX RX</x:v>
      </x:c>
      <x:c r="V48" s="11" t="str">
        <x:v>HOLD</x:v>
      </x:c>
    </x:row>
    <x:row r="49" ht="64" customHeight="1">
      <x:c r="A49" s="11" t="str">
        <x:v>B-045</x:v>
      </x:c>
      <x:c r="B49" s="11" t="str">
        <x:v>AX7020官方匹配电源适配器</x:v>
      </x:c>
      <x:c r="C49" s="11" t="str">
        <x:v>ALINX规定DC 5V配件</x:v>
      </x:c>
      <x:c r="D49" s="11" t="str">
        <x:v>UNKNOWN_VERIFY</x:v>
      </x:c>
      <x:c r="E49" s="13" t="n">
        <x:v>0</x:v>
      </x:c>
      <x:c r="F49" s="14" t="n">
        <x:v>0.1</x:v>
      </x:c>
      <x:c r="G49" s="13" t="n">
        <x:f>ROUNDUP(E49*(1+F49),0)</x:f>
        <x:v>0</x:v>
      </x:c>
      <x:c r="H49" s="11" t="str"/>
      <x:c r="I49" s="11" t="str">
        <x:v>设备; Pin1/EP原生库待核</x:v>
      </x:c>
      <x:c r="J49" s="11" t="str">
        <x:v>主控保持其原厂供电，外部阵列不占板载供电</x:v>
      </x:c>
      <x:c r="K49" s="11" t="str">
        <x:v>UNKNOWN</x:v>
      </x:c>
      <x:c r="L49" s="11" t="str">
        <x:v>CENTRAL_USB5V / 3V3</x:v>
      </x:c>
      <x:c r="M49" s="11" t="str">
        <x:v>https://www.alinx.com/public/upload/file/AX7020_UG.pdf</x:v>
      </x:c>
      <x:c r="N49" s="11" t="str">
        <x:v>授权渠道待选；不默认替代</x:v>
      </x:c>
      <x:c r="O49" s="11" t="str">
        <x:v>UNKNOWN_VERIFY</x:v>
      </x:c>
      <x:c r="P49" s="11" t="str">
        <x:v>2026-10-11</x:v>
      </x:c>
      <x:c r="Q49" s="11" t="str">
        <x:v>INHERITED_CANDIDATE_REQUIRES_NATIVE_PIN_REVIEW</x:v>
      </x:c>
      <x:c r="R49" s="11" t="str">
        <x:v>User v5 scope; no procurement permission</x:v>
      </x:c>
      <x:c r="S49" s="11" t="str">
        <x:v>Inherited candidate quantity; netlist/thermal review pending</x:v>
      </x:c>
      <x:c r="T49" s="11" t="str">
        <x:v>UNKNOWN</x:v>
      </x:c>
      <x:c r="U49" s="11" t="str">
        <x:v>背面电子件 / 正面TX RX</x:v>
      </x:c>
      <x:c r="V49" s="11" t="str">
        <x:v>HOLD</x:v>
      </x:c>
    </x:row>
    <x:row r="50" ht="72" customHeight="1">
      <x:c r="A50" s="11" t="str">
        <x:v>B-046</x:v>
      </x:c>
      <x:c r="B50" s="11" t="str">
        <x:v>100nF去耦电容</x:v>
      </x:c>
      <x:c r="C50" s="11" t="str">
        <x:v>100nF 50V X7R</x:v>
      </x:c>
      <x:c r="D50" s="11" t="str">
        <x:v>UNKNOWN_VERIFY</x:v>
      </x:c>
      <x:c r="E50" s="13" t="n">
        <x:v>21</x:v>
      </x:c>
      <x:c r="F50" s="14" t="n">
        <x:v>0.1</x:v>
      </x:c>
      <x:c r="G50" s="13" t="n">
        <x:f>ROUNDUP(E50*(1+F50),0)</x:f>
        <x:v>24</x:v>
      </x:c>
      <x:c r="H50" s="11" t="str">
        <x:v>CE_B046_001, CE_B046_002, CE_B046_003, CE_B046_004, CE_B046_005, CE_B046_006, CE_B046_007, CE_B046_008, CE_B046_009, CE_B046_010, CE_B046_011, CE_B046_012, CE_B046_013, CE_B046_014, CE_B046_015, CE_B046_016, CE_B046_017, CE_B046_018, CE_B046_019, CE_B046_020, CE_B046_021</x:v>
      </x:c>
      <x:c r="I50" s="11" t="str">
        <x:v>0603; Pin1/EP原生库待核</x:v>
      </x:c>
      <x:c r="J50" s="11" t="str">
        <x:v>按原v5零件计数移植；新布板新增保护网路另计</x:v>
      </x:c>
      <x:c r="K50" s="11" t="str">
        <x:v>UNKNOWN</x:v>
      </x:c>
      <x:c r="L50" s="11" t="str">
        <x:v>CENTRAL_USB5V / 3V3</x:v>
      </x:c>
      <x:c r="M50" s="11" t="str">
        <x:v>https://github.com/loverlike1216/SonoField-FPGA/blob/main/v5/hardware/bom/BOM_MASTER.csv</x:v>
      </x:c>
      <x:c r="N50" s="11" t="str">
        <x:v>授权渠道待选；不默认替代</x:v>
      </x:c>
      <x:c r="O50" s="11" t="str">
        <x:v>UNKNOWN_VERIFY</x:v>
      </x:c>
      <x:c r="P50" s="11" t="str">
        <x:v>2026-10-11</x:v>
      </x:c>
      <x:c r="Q50" s="11" t="str">
        <x:v>INHERITED_CANDIDATE_REQUIRES_NATIVE_PIN_REVIEW</x:v>
      </x:c>
      <x:c r="R50" s="11" t="str">
        <x:v>User v5 scope; no procurement permission</x:v>
      </x:c>
      <x:c r="S50" s="11" t="str">
        <x:v>Inherited candidate quantity; netlist/thermal review pending</x:v>
      </x:c>
      <x:c r="T50" s="11" t="str">
        <x:v>UNKNOWN</x:v>
      </x:c>
      <x:c r="U50" s="11" t="str">
        <x:v>背面电子件 / 正面TX RX</x:v>
      </x:c>
      <x:c r="V50" s="11" t="str">
        <x:v>HOLD</x:v>
      </x:c>
    </x:row>
    <x:row r="51" ht="64" customHeight="1">
      <x:c r="A51" s="11" t="str">
        <x:v>B-047</x:v>
      </x:c>
      <x:c r="B51" s="11" t="str">
        <x:v>1µF驱动储能</x:v>
      </x:c>
      <x:c r="C51" s="11" t="str">
        <x:v>1µF 25V X7R</x:v>
      </x:c>
      <x:c r="D51" s="11" t="str">
        <x:v>UNKNOWN_VERIFY</x:v>
      </x:c>
      <x:c r="E51" s="13" t="n">
        <x:v>2</x:v>
      </x:c>
      <x:c r="F51" s="14" t="n">
        <x:v>0.1</x:v>
      </x:c>
      <x:c r="G51" s="13" t="n">
        <x:f>ROUNDUP(E51*(1+F51),0)</x:f>
        <x:v>3</x:v>
      </x:c>
      <x:c r="H51" s="11" t="str">
        <x:v>CE_B047_001, CE_B047_002</x:v>
      </x:c>
      <x:c r="I51" s="11" t="str">
        <x:v>0805; Pin1/EP原生库待核</x:v>
      </x:c>
      <x:c r="J51" s="11" t="str">
        <x:v>按原v5零件计数移植；新布板新增保护网路另计</x:v>
      </x:c>
      <x:c r="K51" s="11" t="str">
        <x:v>UNKNOWN</x:v>
      </x:c>
      <x:c r="L51" s="11" t="str">
        <x:v>CENTRAL_USB5V / 3V3</x:v>
      </x:c>
      <x:c r="M51" s="11" t="str">
        <x:v>https://github.com/loverlike1216/SonoField-FPGA/blob/main/v5/hardware/bom/BOM_MASTER.csv</x:v>
      </x:c>
      <x:c r="N51" s="11" t="str">
        <x:v>授权渠道待选；不默认替代</x:v>
      </x:c>
      <x:c r="O51" s="11" t="str">
        <x:v>UNKNOWN_VERIFY</x:v>
      </x:c>
      <x:c r="P51" s="11" t="str">
        <x:v>2026-10-11</x:v>
      </x:c>
      <x:c r="Q51" s="11" t="str">
        <x:v>INHERITED_CANDIDATE_REQUIRES_NATIVE_PIN_REVIEW</x:v>
      </x:c>
      <x:c r="R51" s="11" t="str">
        <x:v>User v5 scope; no procurement permission</x:v>
      </x:c>
      <x:c r="S51" s="11" t="str">
        <x:v>Inherited candidate quantity; netlist/thermal review pending</x:v>
      </x:c>
      <x:c r="T51" s="11" t="str">
        <x:v>UNKNOWN</x:v>
      </x:c>
      <x:c r="U51" s="11" t="str">
        <x:v>背面电子件 / 正面TX RX</x:v>
      </x:c>
      <x:c r="V51" s="11" t="str">
        <x:v>HOLD</x:v>
      </x:c>
    </x:row>
    <x:row r="52" ht="64" customHeight="1">
      <x:c r="A52" s="11" t="str">
        <x:v>B-048</x:v>
      </x:c>
      <x:c r="B52" s="11" t="str">
        <x:v>22µF局部储能</x:v>
      </x:c>
      <x:c r="C52" s="11" t="str">
        <x:v>22µF 25V X7R</x:v>
      </x:c>
      <x:c r="D52" s="11" t="str">
        <x:v>UNKNOWN_VERIFY</x:v>
      </x:c>
      <x:c r="E52" s="13" t="n">
        <x:v>4</x:v>
      </x:c>
      <x:c r="F52" s="14" t="n">
        <x:v>0.1</x:v>
      </x:c>
      <x:c r="G52" s="13" t="n">
        <x:f>ROUNDUP(E52*(1+F52),0)</x:f>
        <x:v>5</x:v>
      </x:c>
      <x:c r="H52" s="11" t="str">
        <x:v>CE_B048_001, CE_B048_002, CE_B048_003, CE_B048_004</x:v>
      </x:c>
      <x:c r="I52" s="11" t="str">
        <x:v>1210; Pin1/EP原生库待核</x:v>
      </x:c>
      <x:c r="J52" s="11" t="str">
        <x:v>按原v5零件计数移植；新布板新增保护网路另计</x:v>
      </x:c>
      <x:c r="K52" s="11" t="str">
        <x:v>UNKNOWN</x:v>
      </x:c>
      <x:c r="L52" s="11" t="str">
        <x:v>CENTRAL_USB5V / 3V3</x:v>
      </x:c>
      <x:c r="M52" s="11" t="str">
        <x:v>https://github.com/loverlike1216/SonoField-FPGA/blob/main/v5/hardware/bom/BOM_MASTER.csv</x:v>
      </x:c>
      <x:c r="N52" s="11" t="str">
        <x:v>授权渠道待选；不默认替代</x:v>
      </x:c>
      <x:c r="O52" s="11" t="str">
        <x:v>UNKNOWN_VERIFY</x:v>
      </x:c>
      <x:c r="P52" s="11" t="str">
        <x:v>2026-10-11</x:v>
      </x:c>
      <x:c r="Q52" s="11" t="str">
        <x:v>INHERITED_CANDIDATE_REQUIRES_NATIVE_PIN_REVIEW</x:v>
      </x:c>
      <x:c r="R52" s="11" t="str">
        <x:v>User v5 scope; no procurement permission</x:v>
      </x:c>
      <x:c r="S52" s="11" t="str">
        <x:v>Inherited candidate quantity; netlist/thermal review pending</x:v>
      </x:c>
      <x:c r="T52" s="11" t="str">
        <x:v>UNKNOWN</x:v>
      </x:c>
      <x:c r="U52" s="11" t="str">
        <x:v>背面电子件 / 正面TX RX</x:v>
      </x:c>
      <x:c r="V52" s="11" t="str">
        <x:v>HOLD</x:v>
      </x:c>
    </x:row>
    <x:row r="53" ht="64" customHeight="1">
      <x:c r="A53" s="11" t="str">
        <x:v>B-049</x:v>
      </x:c>
      <x:c r="B53" s="11" t="str">
        <x:v>10µF输入去耦</x:v>
      </x:c>
      <x:c r="C53" s="11" t="str">
        <x:v>10µF 25V X7R</x:v>
      </x:c>
      <x:c r="D53" s="11" t="str">
        <x:v>UNKNOWN_VERIFY</x:v>
      </x:c>
      <x:c r="E53" s="13" t="n">
        <x:v>5</x:v>
      </x:c>
      <x:c r="F53" s="14" t="n">
        <x:v>0.1</x:v>
      </x:c>
      <x:c r="G53" s="13" t="n">
        <x:f>ROUNDUP(E53*(1+F53),0)</x:f>
        <x:v>6</x:v>
      </x:c>
      <x:c r="H53" s="11" t="str">
        <x:v>CE_B049_001, CE_B049_002, CE_B049_003, CE_B049_004, CE_B049_005</x:v>
      </x:c>
      <x:c r="I53" s="11" t="str">
        <x:v>1206; Pin1/EP原生库待核</x:v>
      </x:c>
      <x:c r="J53" s="11" t="str">
        <x:v>按原v5零件计数移植；新布板新增保护网路另计</x:v>
      </x:c>
      <x:c r="K53" s="11" t="str">
        <x:v>UNKNOWN</x:v>
      </x:c>
      <x:c r="L53" s="11" t="str">
        <x:v>CENTRAL_USB5V / 3V3</x:v>
      </x:c>
      <x:c r="M53" s="11" t="str">
        <x:v>https://github.com/loverlike1216/SonoField-FPGA/blob/main/v5/hardware/bom/BOM_MASTER.csv</x:v>
      </x:c>
      <x:c r="N53" s="11" t="str">
        <x:v>授权渠道待选；不默认替代</x:v>
      </x:c>
      <x:c r="O53" s="11" t="str">
        <x:v>UNKNOWN_VERIFY</x:v>
      </x:c>
      <x:c r="P53" s="11" t="str">
        <x:v>2026-10-11</x:v>
      </x:c>
      <x:c r="Q53" s="11" t="str">
        <x:v>INHERITED_CANDIDATE_REQUIRES_NATIVE_PIN_REVIEW</x:v>
      </x:c>
      <x:c r="R53" s="11" t="str">
        <x:v>User v5 scope; no procurement permission</x:v>
      </x:c>
      <x:c r="S53" s="11" t="str">
        <x:v>Inherited candidate quantity; netlist/thermal review pending</x:v>
      </x:c>
      <x:c r="T53" s="11" t="str">
        <x:v>UNKNOWN</x:v>
      </x:c>
      <x:c r="U53" s="11" t="str">
        <x:v>背面电子件 / 正面TX RX</x:v>
      </x:c>
      <x:c r="V53" s="11" t="str">
        <x:v>HOLD</x:v>
      </x:c>
    </x:row>
    <x:row r="54" ht="64" customHeight="1">
      <x:c r="A54" s="11" t="str">
        <x:v>B-050</x:v>
      </x:c>
      <x:c r="B54" s="11" t="str">
        <x:v>2.2µF LDO稳定电容</x:v>
      </x:c>
      <x:c r="C54" s="11" t="str">
        <x:v>2.2µF 25V X7R</x:v>
      </x:c>
      <x:c r="D54" s="11" t="str">
        <x:v>UNKNOWN_VERIFY</x:v>
      </x:c>
      <x:c r="E54" s="13" t="n">
        <x:v>2</x:v>
      </x:c>
      <x:c r="F54" s="14" t="n">
        <x:v>0.1</x:v>
      </x:c>
      <x:c r="G54" s="13" t="n">
        <x:f>ROUNDUP(E54*(1+F54),0)</x:f>
        <x:v>3</x:v>
      </x:c>
      <x:c r="H54" s="11" t="str">
        <x:v>CE_B050_001, CE_B050_002</x:v>
      </x:c>
      <x:c r="I54" s="11" t="str">
        <x:v>0805; Pin1/EP原生库待核</x:v>
      </x:c>
      <x:c r="J54" s="11" t="str">
        <x:v>按原v5零件计数移植；新布板新增保护网路另计</x:v>
      </x:c>
      <x:c r="K54" s="11" t="str">
        <x:v>UNKNOWN</x:v>
      </x:c>
      <x:c r="L54" s="11" t="str">
        <x:v>CENTRAL_USB5V / 3V3</x:v>
      </x:c>
      <x:c r="M54" s="11" t="str">
        <x:v>https://github.com/loverlike1216/SonoField-FPGA/blob/main/v5/hardware/bom/BOM_MASTER.csv</x:v>
      </x:c>
      <x:c r="N54" s="11" t="str">
        <x:v>授权渠道待选；不默认替代</x:v>
      </x:c>
      <x:c r="O54" s="11" t="str">
        <x:v>UNKNOWN_VERIFY</x:v>
      </x:c>
      <x:c r="P54" s="11" t="str">
        <x:v>2026-10-11</x:v>
      </x:c>
      <x:c r="Q54" s="11" t="str">
        <x:v>INHERITED_CANDIDATE_REQUIRES_NATIVE_PIN_REVIEW</x:v>
      </x:c>
      <x:c r="R54" s="11" t="str">
        <x:v>User v5 scope; no procurement permission</x:v>
      </x:c>
      <x:c r="S54" s="11" t="str">
        <x:v>Inherited candidate quantity; netlist/thermal review pending</x:v>
      </x:c>
      <x:c r="T54" s="11" t="str">
        <x:v>UNKNOWN</x:v>
      </x:c>
      <x:c r="U54" s="11" t="str">
        <x:v>背面电子件 / 正面TX RX</x:v>
      </x:c>
      <x:c r="V54" s="11" t="str">
        <x:v>HOLD</x:v>
      </x:c>
    </x:row>
    <x:row r="55" ht="64" customHeight="1">
      <x:c r="A55" s="11" t="str">
        <x:v>B-051</x:v>
      </x:c>
      <x:c r="B55" s="11" t="str">
        <x:v>470µF低ESR主储能</x:v>
      </x:c>
      <x:c r="C55" s="11" t="str">
        <x:v>470µF 35V</x:v>
      </x:c>
      <x:c r="D55" s="11" t="str">
        <x:v>UNKNOWN_VERIFY</x:v>
      </x:c>
      <x:c r="E55" s="13" t="n">
        <x:v>0</x:v>
      </x:c>
      <x:c r="F55" s="14" t="n">
        <x:v>0.1</x:v>
      </x:c>
      <x:c r="G55" s="13" t="n">
        <x:f>ROUNDUP(E55*(1+F55),0)</x:f>
        <x:v>0</x:v>
      </x:c>
      <x:c r="H55" s="11" t="str"/>
      <x:c r="I55" s="11" t="str">
        <x:v>THT; Pin1/EP原生库待核</x:v>
      </x:c>
      <x:c r="J55" s="11" t="str">
        <x:v>按原v5零件计数移植；新布板新增保护网路另计</x:v>
      </x:c>
      <x:c r="K55" s="11" t="str">
        <x:v>UNKNOWN</x:v>
      </x:c>
      <x:c r="L55" s="11" t="str">
        <x:v>CENTRAL_USB5V / 3V3</x:v>
      </x:c>
      <x:c r="M55" s="11" t="str">
        <x:v>https://github.com/loverlike1216/SonoField-FPGA/blob/main/v5/hardware/bom/BOM_MASTER.csv</x:v>
      </x:c>
      <x:c r="N55" s="11" t="str">
        <x:v>授权渠道待选；不默认替代</x:v>
      </x:c>
      <x:c r="O55" s="11" t="str">
        <x:v>UNKNOWN_VERIFY</x:v>
      </x:c>
      <x:c r="P55" s="11" t="str">
        <x:v>2026-10-11</x:v>
      </x:c>
      <x:c r="Q55" s="11" t="str">
        <x:v>INHERITED_CANDIDATE_REQUIRES_NATIVE_PIN_REVIEW</x:v>
      </x:c>
      <x:c r="R55" s="11" t="str">
        <x:v>User v5 scope; no procurement permission</x:v>
      </x:c>
      <x:c r="S55" s="11" t="str">
        <x:v>No central12V supply/converter or5V-to5V LDO headroom; central header budget HOLD</x:v>
      </x:c>
      <x:c r="T55" s="11" t="str">
        <x:v>UNKNOWN</x:v>
      </x:c>
      <x:c r="U55" s="11" t="str">
        <x:v>背面电子件 / 正面TX RX</x:v>
      </x:c>
      <x:c r="V55" s="11" t="str">
        <x:v>HOLD</x:v>
      </x:c>
    </x:row>
    <x:row r="56" ht="64" customHeight="1">
      <x:c r="A56" s="11" t="str">
        <x:v>B-052</x:v>
      </x:c>
      <x:c r="B56" s="11" t="str">
        <x:v>10nF RX耦合</x:v>
      </x:c>
      <x:c r="C56" s="11" t="str">
        <x:v>10nF 50V C0G</x:v>
      </x:c>
      <x:c r="D56" s="11" t="str">
        <x:v>UNKNOWN_VERIFY</x:v>
      </x:c>
      <x:c r="E56" s="13" t="n">
        <x:v>0</x:v>
      </x:c>
      <x:c r="F56" s="14" t="n">
        <x:v>0.1</x:v>
      </x:c>
      <x:c r="G56" s="13" t="n">
        <x:f>ROUNDUP(E56*(1+F56),0)</x:f>
        <x:v>0</x:v>
      </x:c>
      <x:c r="H56" s="11" t="str"/>
      <x:c r="I56" s="11" t="str">
        <x:v>0603; Pin1/EP原生库待核</x:v>
      </x:c>
      <x:c r="J56" s="11" t="str">
        <x:v>按原v5零件计数移植；新布板新增保护网路另计</x:v>
      </x:c>
      <x:c r="K56" s="11" t="str">
        <x:v>UNKNOWN</x:v>
      </x:c>
      <x:c r="L56" s="11" t="str">
        <x:v>CENTRAL_USB5V / 3V3</x:v>
      </x:c>
      <x:c r="M56" s="11" t="str">
        <x:v>https://github.com/loverlike1216/SonoField-FPGA/blob/main/v5/hardware/bom/BOM_MASTER.csv</x:v>
      </x:c>
      <x:c r="N56" s="11" t="str">
        <x:v>授权渠道待选；不默认替代</x:v>
      </x:c>
      <x:c r="O56" s="11" t="str">
        <x:v>UNKNOWN_VERIFY</x:v>
      </x:c>
      <x:c r="P56" s="11" t="str">
        <x:v>2026-10-11</x:v>
      </x:c>
      <x:c r="Q56" s="11" t="str">
        <x:v>INHERITED_CANDIDATE_REQUIRES_NATIVE_PIN_REVIEW</x:v>
      </x:c>
      <x:c r="R56" s="11" t="str">
        <x:v>User v5 scope; no procurement permission</x:v>
      </x:c>
      <x:c r="S56" s="11" t="str">
        <x:v>Inherited candidate quantity; netlist/thermal review pending</x:v>
      </x:c>
      <x:c r="T56" s="11" t="str">
        <x:v>UNKNOWN</x:v>
      </x:c>
      <x:c r="U56" s="11" t="str">
        <x:v>背面电子件 / 正面TX RX</x:v>
      </x:c>
      <x:c r="V56" s="11" t="str">
        <x:v>HOLD</x:v>
      </x:c>
    </x:row>
    <x:row r="57" ht="64" customHeight="1">
      <x:c r="A57" s="11" t="str">
        <x:v>B-053</x:v>
      </x:c>
      <x:c r="B57" s="11" t="str">
        <x:v>1nF RX噪声过滤</x:v>
      </x:c>
      <x:c r="C57" s="11" t="str">
        <x:v>1nF 50V C0G</x:v>
      </x:c>
      <x:c r="D57" s="11" t="str">
        <x:v>UNKNOWN_VERIFY</x:v>
      </x:c>
      <x:c r="E57" s="13" t="n">
        <x:v>8</x:v>
      </x:c>
      <x:c r="F57" s="14" t="n">
        <x:v>0.1</x:v>
      </x:c>
      <x:c r="G57" s="13" t="n">
        <x:f>ROUNDUP(E57*(1+F57),0)</x:f>
        <x:v>9</x:v>
      </x:c>
      <x:c r="H57" s="11" t="str">
        <x:v>CE_B053_001, CE_B053_002, CE_B053_003, CE_B053_004, CE_B053_005, CE_B053_006, CE_B053_007, CE_B053_008</x:v>
      </x:c>
      <x:c r="I57" s="11" t="str">
        <x:v>0603; Pin1/EP原生库待核</x:v>
      </x:c>
      <x:c r="J57" s="11" t="str">
        <x:v>按原v5零件计数移植；新布板新增保护网路另计</x:v>
      </x:c>
      <x:c r="K57" s="11" t="str">
        <x:v>UNKNOWN</x:v>
      </x:c>
      <x:c r="L57" s="11" t="str">
        <x:v>CENTRAL_USB5V / 3V3</x:v>
      </x:c>
      <x:c r="M57" s="11" t="str">
        <x:v>https://github.com/loverlike1216/SonoField-FPGA/blob/main/v5/hardware/bom/BOM_MASTER.csv</x:v>
      </x:c>
      <x:c r="N57" s="11" t="str">
        <x:v>授权渠道待选；不默认替代</x:v>
      </x:c>
      <x:c r="O57" s="11" t="str">
        <x:v>UNKNOWN_VERIFY</x:v>
      </x:c>
      <x:c r="P57" s="11" t="str">
        <x:v>2026-10-11</x:v>
      </x:c>
      <x:c r="Q57" s="11" t="str">
        <x:v>INHERITED_CANDIDATE_REQUIRES_NATIVE_PIN_REVIEW</x:v>
      </x:c>
      <x:c r="R57" s="11" t="str">
        <x:v>User v5 scope; no procurement permission</x:v>
      </x:c>
      <x:c r="S57" s="11" t="str">
        <x:v>Inherited candidate quantity; netlist/thermal review pending</x:v>
      </x:c>
      <x:c r="T57" s="11" t="str">
        <x:v>UNKNOWN</x:v>
      </x:c>
      <x:c r="U57" s="11" t="str">
        <x:v>背面电子件 / 正面TX RX</x:v>
      </x:c>
      <x:c r="V57" s="11" t="str">
        <x:v>HOLD</x:v>
      </x:c>
    </x:row>
    <x:row r="58" ht="64" customHeight="1">
      <x:c r="A58" s="11" t="str">
        <x:v>B-054</x:v>
      </x:c>
      <x:c r="B58" s="11" t="str">
        <x:v>100kΩ上拉/下拉</x:v>
      </x:c>
      <x:c r="C58" s="11" t="str">
        <x:v>100kΩ 1%</x:v>
      </x:c>
      <x:c r="D58" s="11" t="str">
        <x:v>UNKNOWN_VERIFY</x:v>
      </x:c>
      <x:c r="E58" s="13" t="n">
        <x:v>2</x:v>
      </x:c>
      <x:c r="F58" s="14" t="n">
        <x:v>0.1</x:v>
      </x:c>
      <x:c r="G58" s="13" t="n">
        <x:f>ROUNDUP(E58*(1+F58),0)</x:f>
        <x:v>3</x:v>
      </x:c>
      <x:c r="H58" s="11" t="str">
        <x:v>CE_B054_001, CE_B054_002</x:v>
      </x:c>
      <x:c r="I58" s="11" t="str">
        <x:v>0603; Pin1/EP原生库待核</x:v>
      </x:c>
      <x:c r="J58" s="11" t="str">
        <x:v>按原v5零件计数移植；新布板新增保护网路另计</x:v>
      </x:c>
      <x:c r="K58" s="11" t="str">
        <x:v>UNKNOWN</x:v>
      </x:c>
      <x:c r="L58" s="11" t="str">
        <x:v>CENTRAL_USB5V / 3V3</x:v>
      </x:c>
      <x:c r="M58" s="11" t="str">
        <x:v>https://github.com/loverlike1216/SonoField-FPGA/blob/main/v5/hardware/bom/BOM_MASTER.csv</x:v>
      </x:c>
      <x:c r="N58" s="11" t="str">
        <x:v>授权渠道待选；不默认替代</x:v>
      </x:c>
      <x:c r="O58" s="11" t="str">
        <x:v>UNKNOWN_VERIFY</x:v>
      </x:c>
      <x:c r="P58" s="11" t="str">
        <x:v>2026-10-11</x:v>
      </x:c>
      <x:c r="Q58" s="11" t="str">
        <x:v>INHERITED_CANDIDATE_REQUIRES_NATIVE_PIN_REVIEW</x:v>
      </x:c>
      <x:c r="R58" s="11" t="str">
        <x:v>User v5 scope; no procurement permission</x:v>
      </x:c>
      <x:c r="S58" s="11" t="str">
        <x:v>Inherited candidate quantity; netlist/thermal review pending</x:v>
      </x:c>
      <x:c r="T58" s="11" t="str">
        <x:v>UNKNOWN</x:v>
      </x:c>
      <x:c r="U58" s="11" t="str">
        <x:v>背面电子件 / 正面TX RX</x:v>
      </x:c>
      <x:c r="V58" s="11" t="str">
        <x:v>HOLD</x:v>
      </x:c>
    </x:row>
    <x:row r="59" ht="64" customHeight="1">
      <x:c r="A59" s="11" t="str">
        <x:v>B-055</x:v>
      </x:c>
      <x:c r="B59" s="11" t="str">
        <x:v>10kΩ上拉/下拉</x:v>
      </x:c>
      <x:c r="C59" s="11" t="str">
        <x:v>10kΩ 1%</x:v>
      </x:c>
      <x:c r="D59" s="11" t="str">
        <x:v>UNKNOWN_VERIFY</x:v>
      </x:c>
      <x:c r="E59" s="13" t="n">
        <x:v>0</x:v>
      </x:c>
      <x:c r="F59" s="14" t="n">
        <x:v>0.1</x:v>
      </x:c>
      <x:c r="G59" s="13" t="n">
        <x:f>ROUNDUP(E59*(1+F59),0)</x:f>
        <x:v>0</x:v>
      </x:c>
      <x:c r="H59" s="11" t="str"/>
      <x:c r="I59" s="11" t="str">
        <x:v>0603; Pin1/EP原生库待核</x:v>
      </x:c>
      <x:c r="J59" s="11" t="str">
        <x:v>按原v5零件计数移植；新布板新增保护网路另计</x:v>
      </x:c>
      <x:c r="K59" s="11" t="str">
        <x:v>UNKNOWN</x:v>
      </x:c>
      <x:c r="L59" s="11" t="str">
        <x:v>CENTRAL_USB5V / 3V3</x:v>
      </x:c>
      <x:c r="M59" s="11" t="str">
        <x:v>https://github.com/loverlike1216/SonoField-FPGA/blob/main/v5/hardware/bom/BOM_MASTER.csv</x:v>
      </x:c>
      <x:c r="N59" s="11" t="str">
        <x:v>授权渠道待选；不默认替代</x:v>
      </x:c>
      <x:c r="O59" s="11" t="str">
        <x:v>UNKNOWN_VERIFY</x:v>
      </x:c>
      <x:c r="P59" s="11" t="str">
        <x:v>2026-10-11</x:v>
      </x:c>
      <x:c r="Q59" s="11" t="str">
        <x:v>INHERITED_CANDIDATE_REQUIRES_NATIVE_PIN_REVIEW</x:v>
      </x:c>
      <x:c r="R59" s="11" t="str">
        <x:v>User v5 scope; no procurement permission</x:v>
      </x:c>
      <x:c r="S59" s="11" t="str">
        <x:v>Inherited candidate quantity; netlist/thermal review pending</x:v>
      </x:c>
      <x:c r="T59" s="11" t="str">
        <x:v>UNKNOWN</x:v>
      </x:c>
      <x:c r="U59" s="11" t="str">
        <x:v>背面电子件 / 正面TX RX</x:v>
      </x:c>
      <x:c r="V59" s="11" t="str">
        <x:v>HOLD</x:v>
      </x:c>
    </x:row>
    <x:row r="60" ht="64" customHeight="1">
      <x:c r="A60" s="11" t="str">
        <x:v>B-056</x:v>
      </x:c>
      <x:c r="B60" s="11" t="str">
        <x:v>4.7kΩ I²C上拉</x:v>
      </x:c>
      <x:c r="C60" s="11" t="str">
        <x:v>4.7kΩ 1%</x:v>
      </x:c>
      <x:c r="D60" s="11" t="str">
        <x:v>UNKNOWN_VERIFY</x:v>
      </x:c>
      <x:c r="E60" s="13" t="n">
        <x:v>2</x:v>
      </x:c>
      <x:c r="F60" s="14" t="n">
        <x:v>0.1</x:v>
      </x:c>
      <x:c r="G60" s="13" t="n">
        <x:f>ROUNDUP(E60*(1+F60),0)</x:f>
        <x:v>3</x:v>
      </x:c>
      <x:c r="H60" s="11" t="str">
        <x:v>CE_B056_001, CE_B056_002</x:v>
      </x:c>
      <x:c r="I60" s="11" t="str">
        <x:v>0603; Pin1/EP原生库待核</x:v>
      </x:c>
      <x:c r="J60" s="11" t="str">
        <x:v>按原v5零件计数移植；新布板新增保护网路另计</x:v>
      </x:c>
      <x:c r="K60" s="11" t="str">
        <x:v>UNKNOWN</x:v>
      </x:c>
      <x:c r="L60" s="11" t="str">
        <x:v>CENTRAL_USB5V / 3V3</x:v>
      </x:c>
      <x:c r="M60" s="11" t="str">
        <x:v>https://github.com/loverlike1216/SonoField-FPGA/blob/main/v5/hardware/bom/BOM_MASTER.csv</x:v>
      </x:c>
      <x:c r="N60" s="11" t="str">
        <x:v>授权渠道待选；不默认替代</x:v>
      </x:c>
      <x:c r="O60" s="11" t="str">
        <x:v>UNKNOWN_VERIFY</x:v>
      </x:c>
      <x:c r="P60" s="11" t="str">
        <x:v>2026-10-11</x:v>
      </x:c>
      <x:c r="Q60" s="11" t="str">
        <x:v>INHERITED_CANDIDATE_REQUIRES_NATIVE_PIN_REVIEW</x:v>
      </x:c>
      <x:c r="R60" s="11" t="str">
        <x:v>User v5 scope; no procurement permission</x:v>
      </x:c>
      <x:c r="S60" s="11" t="str">
        <x:v>Inherited candidate quantity; netlist/thermal review pending</x:v>
      </x:c>
      <x:c r="T60" s="11" t="str">
        <x:v>UNKNOWN</x:v>
      </x:c>
      <x:c r="U60" s="11" t="str">
        <x:v>背面电子件 / 正面TX RX</x:v>
      </x:c>
      <x:c r="V60" s="11" t="str">
        <x:v>HOLD</x:v>
      </x:c>
    </x:row>
    <x:row r="61" ht="64" customHeight="1">
      <x:c r="A61" s="11" t="str">
        <x:v>B-057</x:v>
      </x:c>
      <x:c r="B61" s="11" t="str">
        <x:v>1kΩ RX串联</x:v>
      </x:c>
      <x:c r="C61" s="11" t="str">
        <x:v>1kΩ 1%</x:v>
      </x:c>
      <x:c r="D61" s="11" t="str">
        <x:v>UNKNOWN_VERIFY</x:v>
      </x:c>
      <x:c r="E61" s="13" t="n">
        <x:v>0</x:v>
      </x:c>
      <x:c r="F61" s="14" t="n">
        <x:v>0.1</x:v>
      </x:c>
      <x:c r="G61" s="13" t="n">
        <x:f>ROUNDUP(E61*(1+F61),0)</x:f>
        <x:v>0</x:v>
      </x:c>
      <x:c r="H61" s="11" t="str"/>
      <x:c r="I61" s="11" t="str">
        <x:v>0603; Pin1/EP原生库待核</x:v>
      </x:c>
      <x:c r="J61" s="11" t="str">
        <x:v>按原v5零件计数移植；新布板新增保护网路另计</x:v>
      </x:c>
      <x:c r="K61" s="11" t="str">
        <x:v>UNKNOWN</x:v>
      </x:c>
      <x:c r="L61" s="11" t="str">
        <x:v>CENTRAL_USB5V / 3V3</x:v>
      </x:c>
      <x:c r="M61" s="11" t="str">
        <x:v>https://github.com/loverlike1216/SonoField-FPGA/blob/main/v5/hardware/bom/BOM_MASTER.csv</x:v>
      </x:c>
      <x:c r="N61" s="11" t="str">
        <x:v>授权渠道待选；不默认替代</x:v>
      </x:c>
      <x:c r="O61" s="11" t="str">
        <x:v>UNKNOWN_VERIFY</x:v>
      </x:c>
      <x:c r="P61" s="11" t="str">
        <x:v>2026-10-11</x:v>
      </x:c>
      <x:c r="Q61" s="11" t="str">
        <x:v>INHERITED_CANDIDATE_REQUIRES_NATIVE_PIN_REVIEW</x:v>
      </x:c>
      <x:c r="R61" s="11" t="str">
        <x:v>User v5 scope; no procurement permission</x:v>
      </x:c>
      <x:c r="S61" s="11" t="str">
        <x:v>Inherited candidate quantity; netlist/thermal review pending</x:v>
      </x:c>
      <x:c r="T61" s="11" t="str">
        <x:v>UNKNOWN</x:v>
      </x:c>
      <x:c r="U61" s="11" t="str">
        <x:v>背面电子件 / 正面TX RX</x:v>
      </x:c>
      <x:c r="V61" s="11" t="str">
        <x:v>HOLD</x:v>
      </x:c>
    </x:row>
    <x:row r="62" ht="64" customHeight="1">
      <x:c r="A62" s="11" t="str">
        <x:v>B-058</x:v>
      </x:c>
      <x:c r="B62" s="11" t="str">
        <x:v>47Ω模拟阻尼</x:v>
      </x:c>
      <x:c r="C62" s="11" t="str">
        <x:v>47Ω 1%</x:v>
      </x:c>
      <x:c r="D62" s="11" t="str">
        <x:v>UNKNOWN_VERIFY</x:v>
      </x:c>
      <x:c r="E62" s="13" t="n">
        <x:v>8</x:v>
      </x:c>
      <x:c r="F62" s="14" t="n">
        <x:v>0.1</x:v>
      </x:c>
      <x:c r="G62" s="13" t="n">
        <x:f>ROUNDUP(E62*(1+F62),0)</x:f>
        <x:v>9</x:v>
      </x:c>
      <x:c r="H62" s="11" t="str">
        <x:v>CE_B058_001, CE_B058_002, CE_B058_003, CE_B058_004, CE_B058_005, CE_B058_006, CE_B058_007, CE_B058_008</x:v>
      </x:c>
      <x:c r="I62" s="11" t="str">
        <x:v>0603; Pin1/EP原生库待核</x:v>
      </x:c>
      <x:c r="J62" s="11" t="str">
        <x:v>按原v5零件计数移植；新布板新增保护网路另计</x:v>
      </x:c>
      <x:c r="K62" s="11" t="str">
        <x:v>UNKNOWN</x:v>
      </x:c>
      <x:c r="L62" s="11" t="str">
        <x:v>CENTRAL_USB5V / 3V3</x:v>
      </x:c>
      <x:c r="M62" s="11" t="str">
        <x:v>https://github.com/loverlike1216/SonoField-FPGA/blob/main/v5/hardware/bom/BOM_MASTER.csv</x:v>
      </x:c>
      <x:c r="N62" s="11" t="str">
        <x:v>授权渠道待选；不默认替代</x:v>
      </x:c>
      <x:c r="O62" s="11" t="str">
        <x:v>UNKNOWN_VERIFY</x:v>
      </x:c>
      <x:c r="P62" s="11" t="str">
        <x:v>2026-10-11</x:v>
      </x:c>
      <x:c r="Q62" s="11" t="str">
        <x:v>INHERITED_CANDIDATE_REQUIRES_NATIVE_PIN_REVIEW</x:v>
      </x:c>
      <x:c r="R62" s="11" t="str">
        <x:v>User v5 scope; no procurement permission</x:v>
      </x:c>
      <x:c r="S62" s="11" t="str">
        <x:v>Inherited candidate quantity; netlist/thermal review pending</x:v>
      </x:c>
      <x:c r="T62" s="11" t="str">
        <x:v>UNKNOWN</x:v>
      </x:c>
      <x:c r="U62" s="11" t="str">
        <x:v>背面电子件 / 正面TX RX</x:v>
      </x:c>
      <x:c r="V62" s="11" t="str">
        <x:v>HOLD</x:v>
      </x:c>
    </x:row>
    <x:row r="63" ht="64" customHeight="1">
      <x:c r="A63" s="11" t="str">
        <x:v>B-059</x:v>
      </x:c>
      <x:c r="B63" s="11" t="str">
        <x:v>33Ω高速阻尼</x:v>
      </x:c>
      <x:c r="C63" s="11" t="str">
        <x:v>33Ω 1%</x:v>
      </x:c>
      <x:c r="D63" s="11" t="str">
        <x:v>UNKNOWN_VERIFY</x:v>
      </x:c>
      <x:c r="E63" s="13" t="n">
        <x:v>0</x:v>
      </x:c>
      <x:c r="F63" s="14" t="n">
        <x:v>0.1</x:v>
      </x:c>
      <x:c r="G63" s="13" t="n">
        <x:f>ROUNDUP(E63*(1+F63),0)</x:f>
        <x:v>0</x:v>
      </x:c>
      <x:c r="H63" s="11" t="str"/>
      <x:c r="I63" s="11" t="str">
        <x:v>0603; Pin1/EP原生库待核</x:v>
      </x:c>
      <x:c r="J63" s="11" t="str">
        <x:v>按原v5零件计数移植；新布板新增保护网路另计</x:v>
      </x:c>
      <x:c r="K63" s="11" t="str">
        <x:v>UNKNOWN</x:v>
      </x:c>
      <x:c r="L63" s="11" t="str">
        <x:v>CENTRAL_USB5V / 3V3</x:v>
      </x:c>
      <x:c r="M63" s="11" t="str">
        <x:v>https://github.com/loverlike1216/SonoField-FPGA/blob/main/v5/hardware/bom/BOM_MASTER.csv</x:v>
      </x:c>
      <x:c r="N63" s="11" t="str">
        <x:v>授权渠道待选；不默认替代</x:v>
      </x:c>
      <x:c r="O63" s="11" t="str">
        <x:v>UNKNOWN_VERIFY</x:v>
      </x:c>
      <x:c r="P63" s="11" t="str">
        <x:v>2026-10-11</x:v>
      </x:c>
      <x:c r="Q63" s="11" t="str">
        <x:v>INHERITED_CANDIDATE_REQUIRES_NATIVE_PIN_REVIEW</x:v>
      </x:c>
      <x:c r="R63" s="11" t="str">
        <x:v>User v5 scope; no procurement permission</x:v>
      </x:c>
      <x:c r="S63" s="11" t="str">
        <x:v>Inherited candidate quantity; netlist/thermal review pending</x:v>
      </x:c>
      <x:c r="T63" s="11" t="str">
        <x:v>UNKNOWN</x:v>
      </x:c>
      <x:c r="U63" s="11" t="str">
        <x:v>背面电子件 / 正面TX RX</x:v>
      </x:c>
      <x:c r="V63" s="11" t="str">
        <x:v>HOLD</x:v>
      </x:c>
    </x:row>
    <x:row r="64" ht="64" customHeight="1">
      <x:c r="A64" s="11" t="str">
        <x:v>B-060</x:v>
      </x:c>
      <x:c r="B64" s="11" t="str">
        <x:v>10Ω监测滤波</x:v>
      </x:c>
      <x:c r="C64" s="11" t="str">
        <x:v>10Ω 1%</x:v>
      </x:c>
      <x:c r="D64" s="11" t="str">
        <x:v>UNKNOWN_VERIFY</x:v>
      </x:c>
      <x:c r="E64" s="13" t="n">
        <x:v>2</x:v>
      </x:c>
      <x:c r="F64" s="14" t="n">
        <x:v>0.1</x:v>
      </x:c>
      <x:c r="G64" s="13" t="n">
        <x:f>ROUNDUP(E64*(1+F64),0)</x:f>
        <x:v>3</x:v>
      </x:c>
      <x:c r="H64" s="11" t="str">
        <x:v>CE_B060_001, CE_B060_002</x:v>
      </x:c>
      <x:c r="I64" s="11" t="str">
        <x:v>0603; Pin1/EP原生库待核</x:v>
      </x:c>
      <x:c r="J64" s="11" t="str">
        <x:v>按原v5零件计数移植；新布板新增保护网路另计</x:v>
      </x:c>
      <x:c r="K64" s="11" t="str">
        <x:v>UNKNOWN</x:v>
      </x:c>
      <x:c r="L64" s="11" t="str">
        <x:v>CENTRAL_USB5V / 3V3</x:v>
      </x:c>
      <x:c r="M64" s="11" t="str">
        <x:v>https://github.com/loverlike1216/SonoField-FPGA/blob/main/v5/hardware/bom/BOM_MASTER.csv</x:v>
      </x:c>
      <x:c r="N64" s="11" t="str">
        <x:v>授权渠道待选；不默认替代</x:v>
      </x:c>
      <x:c r="O64" s="11" t="str">
        <x:v>UNKNOWN_VERIFY</x:v>
      </x:c>
      <x:c r="P64" s="11" t="str">
        <x:v>2026-10-11</x:v>
      </x:c>
      <x:c r="Q64" s="11" t="str">
        <x:v>INHERITED_CANDIDATE_REQUIRES_NATIVE_PIN_REVIEW</x:v>
      </x:c>
      <x:c r="R64" s="11" t="str">
        <x:v>User v5 scope; no procurement permission</x:v>
      </x:c>
      <x:c r="S64" s="11" t="str">
        <x:v>Inherited candidate quantity; netlist/thermal review pending</x:v>
      </x:c>
      <x:c r="T64" s="11" t="str">
        <x:v>UNKNOWN</x:v>
      </x:c>
      <x:c r="U64" s="11" t="str">
        <x:v>背面电子件 / 正面TX RX</x:v>
      </x:c>
      <x:c r="V64" s="11" t="str">
        <x:v>HOLD</x:v>
      </x:c>
    </x:row>
    <x:row r="65" ht="64" customHeight="1">
      <x:c r="A65" s="11" t="str">
        <x:v>B-061</x:v>
      </x:c>
      <x:c r="B65" s="11" t="str">
        <x:v>0Ω通道选择跳线</x:v>
      </x:c>
      <x:c r="C65" s="11" t="str">
        <x:v>0Ω 0603</x:v>
      </x:c>
      <x:c r="D65" s="11" t="str">
        <x:v>UNKNOWN_VERIFY</x:v>
      </x:c>
      <x:c r="E65" s="13" t="n">
        <x:v>0</x:v>
      </x:c>
      <x:c r="F65" s="14" t="n">
        <x:v>0.1</x:v>
      </x:c>
      <x:c r="G65" s="13" t="n">
        <x:f>ROUNDUP(E65*(1+F65),0)</x:f>
        <x:v>0</x:v>
      </x:c>
      <x:c r="H65" s="11" t="str"/>
      <x:c r="I65" s="11" t="str">
        <x:v>0603; Pin1/EP原生库待核</x:v>
      </x:c>
      <x:c r="J65" s="11" t="str">
        <x:v>按原v5零件计数移植；新布板新增保护网路另计</x:v>
      </x:c>
      <x:c r="K65" s="11" t="str">
        <x:v>UNKNOWN</x:v>
      </x:c>
      <x:c r="L65" s="11" t="str">
        <x:v>CENTRAL_USB5V / 3V3</x:v>
      </x:c>
      <x:c r="M65" s="11" t="str">
        <x:v>https://github.com/loverlike1216/SonoField-FPGA/blob/main/v5/hardware/bom/BOM_MASTER.csv</x:v>
      </x:c>
      <x:c r="N65" s="11" t="str">
        <x:v>授权渠道待选；不默认替代</x:v>
      </x:c>
      <x:c r="O65" s="11" t="str">
        <x:v>UNKNOWN_VERIFY</x:v>
      </x:c>
      <x:c r="P65" s="11" t="str">
        <x:v>2026-10-11</x:v>
      </x:c>
      <x:c r="Q65" s="11" t="str">
        <x:v>INHERITED_CANDIDATE_REQUIRES_NATIVE_PIN_REVIEW</x:v>
      </x:c>
      <x:c r="R65" s="11" t="str">
        <x:v>User v5 scope; no procurement permission</x:v>
      </x:c>
      <x:c r="S65" s="11" t="str">
        <x:v>Inherited candidate quantity; netlist/thermal review pending</x:v>
      </x:c>
      <x:c r="T65" s="11" t="str">
        <x:v>UNKNOWN</x:v>
      </x:c>
      <x:c r="U65" s="11" t="str">
        <x:v>背面电子件 / 正面TX RX</x:v>
      </x:c>
      <x:c r="V65" s="11" t="str">
        <x:v>HOLD</x:v>
      </x:c>
    </x:row>
    <x:row r="66" ht="64" customHeight="1">
      <x:c r="A66" s="11" t="str">
        <x:v>B-062</x:v>
      </x:c>
      <x:c r="B66" s="11" t="str">
        <x:v>1.65kΩ限流编程</x:v>
      </x:c>
      <x:c r="C66" s="11" t="str">
        <x:v>1.65kΩ 1%</x:v>
      </x:c>
      <x:c r="D66" s="11" t="str">
        <x:v>UNKNOWN_VERIFY</x:v>
      </x:c>
      <x:c r="E66" s="13" t="n">
        <x:v>1</x:v>
      </x:c>
      <x:c r="F66" s="14" t="n">
        <x:v>0.1</x:v>
      </x:c>
      <x:c r="G66" s="13" t="n">
        <x:f>ROUNDUP(E66*(1+F66),0)</x:f>
        <x:v>2</x:v>
      </x:c>
      <x:c r="H66" s="11" t="str">
        <x:v>CE_B062_001</x:v>
      </x:c>
      <x:c r="I66" s="11" t="str">
        <x:v>0603; Pin1/EP原生库待核</x:v>
      </x:c>
      <x:c r="J66" s="11" t="str">
        <x:v>1.65kΩ→约2.02A标称；不是5.5A</x:v>
      </x:c>
      <x:c r="K66" s="11" t="str">
        <x:v>UNKNOWN</x:v>
      </x:c>
      <x:c r="L66" s="11" t="str">
        <x:v>CENTRAL_USB5V / 3V3</x:v>
      </x:c>
      <x:c r="M66" s="11" t="str">
        <x:v>https://github.com/loverlike1216/SonoField-FPGA/blob/main/v5/hardware/bom/BOM_MASTER.csv</x:v>
      </x:c>
      <x:c r="N66" s="11" t="str">
        <x:v>授权渠道待选；不默认替代</x:v>
      </x:c>
      <x:c r="O66" s="11" t="str">
        <x:v>UNKNOWN_VERIFY</x:v>
      </x:c>
      <x:c r="P66" s="11" t="str">
        <x:v>2026-10-11</x:v>
      </x:c>
      <x:c r="Q66" s="11" t="str">
        <x:v>INHERITED_CANDIDATE_REQUIRES_NATIVE_PIN_REVIEW</x:v>
      </x:c>
      <x:c r="R66" s="11" t="str">
        <x:v>User v5 scope; no procurement permission</x:v>
      </x:c>
      <x:c r="S66" s="11" t="str">
        <x:v>Inherited candidate quantity; netlist/thermal review pending</x:v>
      </x:c>
      <x:c r="T66" s="11" t="str">
        <x:v>UNKNOWN</x:v>
      </x:c>
      <x:c r="U66" s="11" t="str">
        <x:v>背面电子件 / 正面TX RX</x:v>
      </x:c>
      <x:c r="V66" s="11" t="str">
        <x:v>HOLD</x:v>
      </x:c>
    </x:row>
    <x:row r="67" ht="64" customHeight="1">
      <x:c r="A67" s="11" t="str">
        <x:v>B-063</x:v>
      </x:c>
      <x:c r="B67" s="11" t="str">
        <x:v>1.37MΩ过压编程</x:v>
      </x:c>
      <x:c r="C67" s="11" t="str">
        <x:v>1.37MΩ 1%</x:v>
      </x:c>
      <x:c r="D67" s="11" t="str">
        <x:v>UNKNOWN_VERIFY</x:v>
      </x:c>
      <x:c r="E67" s="13" t="n">
        <x:v>1</x:v>
      </x:c>
      <x:c r="F67" s="14" t="n">
        <x:v>0.1</x:v>
      </x:c>
      <x:c r="G67" s="13" t="n">
        <x:f>ROUNDUP(E67*(1+F67),0)</x:f>
        <x:v>2</x:v>
      </x:c>
      <x:c r="H67" s="11" t="str">
        <x:v>CE_B063_001</x:v>
      </x:c>
      <x:c r="I67" s="11" t="str">
        <x:v>0603; Pin1/EP原生库待核</x:v>
      </x:c>
      <x:c r="J67" s="11" t="str">
        <x:v>按原v5零件计数移植；新布板新增保护网路另计</x:v>
      </x:c>
      <x:c r="K67" s="11" t="str">
        <x:v>UNKNOWN</x:v>
      </x:c>
      <x:c r="L67" s="11" t="str">
        <x:v>CENTRAL_USB5V / 3V3</x:v>
      </x:c>
      <x:c r="M67" s="11" t="str">
        <x:v>https://github.com/loverlike1216/SonoField-FPGA/blob/main/v5/hardware/bom/BOM_MASTER.csv</x:v>
      </x:c>
      <x:c r="N67" s="11" t="str">
        <x:v>授权渠道待选；不默认替代</x:v>
      </x:c>
      <x:c r="O67" s="11" t="str">
        <x:v>UNKNOWN_VERIFY</x:v>
      </x:c>
      <x:c r="P67" s="11" t="str">
        <x:v>2026-10-11</x:v>
      </x:c>
      <x:c r="Q67" s="11" t="str">
        <x:v>INHERITED_CANDIDATE_REQUIRES_NATIVE_PIN_REVIEW</x:v>
      </x:c>
      <x:c r="R67" s="11" t="str">
        <x:v>User v5 scope; no procurement permission</x:v>
      </x:c>
      <x:c r="S67" s="11" t="str">
        <x:v>Inherited candidate quantity; netlist/thermal review pending</x:v>
      </x:c>
      <x:c r="T67" s="11" t="str">
        <x:v>UNKNOWN</x:v>
      </x:c>
      <x:c r="U67" s="11" t="str">
        <x:v>背面电子件 / 正面TX RX</x:v>
      </x:c>
      <x:c r="V67" s="11" t="str">
        <x:v>HOLD</x:v>
      </x:c>
    </x:row>
    <x:row r="68" ht="64" customHeight="1">
      <x:c r="A68" s="11" t="str">
        <x:v>B-064</x:v>
      </x:c>
      <x:c r="B68" s="11" t="str">
        <x:v>590kΩ反馈</x:v>
      </x:c>
      <x:c r="C68" s="11" t="str">
        <x:v>590kΩ 1%</x:v>
      </x:c>
      <x:c r="D68" s="11" t="str">
        <x:v>UNKNOWN_VERIFY</x:v>
      </x:c>
      <x:c r="E68" s="13" t="n">
        <x:v>1</x:v>
      </x:c>
      <x:c r="F68" s="14" t="n">
        <x:v>0.1</x:v>
      </x:c>
      <x:c r="G68" s="13" t="n">
        <x:f>ROUNDUP(E68*(1+F68),0)</x:f>
        <x:v>2</x:v>
      </x:c>
      <x:c r="H68" s="11" t="str">
        <x:v>CE_B064_001</x:v>
      </x:c>
      <x:c r="I68" s="11" t="str">
        <x:v>0603; Pin1/EP原生库待核</x:v>
      </x:c>
      <x:c r="J68" s="11" t="str">
        <x:v>按原v5零件计数移植；新布板新增保护网路另计</x:v>
      </x:c>
      <x:c r="K68" s="11" t="str">
        <x:v>UNKNOWN</x:v>
      </x:c>
      <x:c r="L68" s="11" t="str">
        <x:v>CENTRAL_USB5V / 3V3</x:v>
      </x:c>
      <x:c r="M68" s="11" t="str">
        <x:v>https://github.com/loverlike1216/SonoField-FPGA/blob/main/v5/hardware/bom/BOM_MASTER.csv</x:v>
      </x:c>
      <x:c r="N68" s="11" t="str">
        <x:v>授权渠道待选；不默认替代</x:v>
      </x:c>
      <x:c r="O68" s="11" t="str">
        <x:v>UNKNOWN_VERIFY</x:v>
      </x:c>
      <x:c r="P68" s="11" t="str">
        <x:v>2026-10-11</x:v>
      </x:c>
      <x:c r="Q68" s="11" t="str">
        <x:v>INHERITED_CANDIDATE_REQUIRES_NATIVE_PIN_REVIEW</x:v>
      </x:c>
      <x:c r="R68" s="11" t="str">
        <x:v>User v5 scope; no procurement permission</x:v>
      </x:c>
      <x:c r="S68" s="11" t="str">
        <x:v>Inherited candidate quantity; netlist/thermal review pending</x:v>
      </x:c>
      <x:c r="T68" s="11" t="str">
        <x:v>UNKNOWN</x:v>
      </x:c>
      <x:c r="U68" s="11" t="str">
        <x:v>背面电子件 / 正面TX RX</x:v>
      </x:c>
      <x:c r="V68" s="11" t="str">
        <x:v>HOLD</x:v>
      </x:c>
    </x:row>
    <x:row r="69" ht="64" customHeight="1">
      <x:c r="A69" s="11" t="str">
        <x:v>B-065</x:v>
      </x:c>
      <x:c r="B69" s="11" t="str">
        <x:v>100kΩ高精度反馈</x:v>
      </x:c>
      <x:c r="C69" s="11" t="str">
        <x:v>100kΩ 0.1%</x:v>
      </x:c>
      <x:c r="D69" s="11" t="str">
        <x:v>UNKNOWN_VERIFY</x:v>
      </x:c>
      <x:c r="E69" s="13" t="n">
        <x:v>0</x:v>
      </x:c>
      <x:c r="F69" s="14" t="n">
        <x:v>0.1</x:v>
      </x:c>
      <x:c r="G69" s="13" t="n">
        <x:f>ROUNDUP(E69*(1+F69),0)</x:f>
        <x:v>0</x:v>
      </x:c>
      <x:c r="H69" s="11" t="str"/>
      <x:c r="I69" s="11" t="str">
        <x:v>0603; Pin1/EP原生库待核</x:v>
      </x:c>
      <x:c r="J69" s="11" t="str">
        <x:v>按原v5零件计数移植；新布板新增保护网路另计</x:v>
      </x:c>
      <x:c r="K69" s="11" t="str">
        <x:v>UNKNOWN</x:v>
      </x:c>
      <x:c r="L69" s="11" t="str">
        <x:v>CENTRAL_USB5V / 3V3</x:v>
      </x:c>
      <x:c r="M69" s="11" t="str">
        <x:v>https://github.com/loverlike1216/SonoField-FPGA/blob/main/v5/hardware/bom/BOM_MASTER.csv</x:v>
      </x:c>
      <x:c r="N69" s="11" t="str">
        <x:v>授权渠道待选；不默认替代</x:v>
      </x:c>
      <x:c r="O69" s="11" t="str">
        <x:v>UNKNOWN_VERIFY</x:v>
      </x:c>
      <x:c r="P69" s="11" t="str">
        <x:v>2026-10-11</x:v>
      </x:c>
      <x:c r="Q69" s="11" t="str">
        <x:v>INHERITED_CANDIDATE_REQUIRES_NATIVE_PIN_REVIEW</x:v>
      </x:c>
      <x:c r="R69" s="11" t="str">
        <x:v>User v5 scope; no procurement permission</x:v>
      </x:c>
      <x:c r="S69" s="11" t="str">
        <x:v>Inherited candidate quantity; netlist/thermal review pending</x:v>
      </x:c>
      <x:c r="T69" s="11" t="str">
        <x:v>UNKNOWN</x:v>
      </x:c>
      <x:c r="U69" s="11" t="str">
        <x:v>背面电子件 / 正面TX RX</x:v>
      </x:c>
      <x:c r="V69" s="11" t="str">
        <x:v>HOLD</x:v>
      </x:c>
    </x:row>
    <x:row r="70" ht="64" customHeight="1">
      <x:c r="A70" s="11" t="str">
        <x:v>B-066</x:v>
      </x:c>
      <x:c r="B70" s="11" t="str">
        <x:v>10kΩ高精度反馈</x:v>
      </x:c>
      <x:c r="C70" s="11" t="str">
        <x:v>10kΩ 0.1%</x:v>
      </x:c>
      <x:c r="D70" s="11" t="str">
        <x:v>UNKNOWN_VERIFY</x:v>
      </x:c>
      <x:c r="E70" s="13" t="n">
        <x:v>0</x:v>
      </x:c>
      <x:c r="F70" s="14" t="n">
        <x:v>0.1</x:v>
      </x:c>
      <x:c r="G70" s="13" t="n">
        <x:f>ROUNDUP(E70*(1+F70),0)</x:f>
        <x:v>0</x:v>
      </x:c>
      <x:c r="H70" s="11" t="str"/>
      <x:c r="I70" s="11" t="str">
        <x:v>0603; Pin1/EP原生库待核</x:v>
      </x:c>
      <x:c r="J70" s="11" t="str">
        <x:v>按原v5零件计数移植；新布板新增保护网路另计</x:v>
      </x:c>
      <x:c r="K70" s="11" t="str">
        <x:v>UNKNOWN</x:v>
      </x:c>
      <x:c r="L70" s="11" t="str">
        <x:v>CENTRAL_USB5V / 3V3</x:v>
      </x:c>
      <x:c r="M70" s="11" t="str">
        <x:v>https://github.com/loverlike1216/SonoField-FPGA/blob/main/v5/hardware/bom/BOM_MASTER.csv</x:v>
      </x:c>
      <x:c r="N70" s="11" t="str">
        <x:v>授权渠道待选；不默认替代</x:v>
      </x:c>
      <x:c r="O70" s="11" t="str">
        <x:v>UNKNOWN_VERIFY</x:v>
      </x:c>
      <x:c r="P70" s="11" t="str">
        <x:v>2026-10-11</x:v>
      </x:c>
      <x:c r="Q70" s="11" t="str">
        <x:v>INHERITED_CANDIDATE_REQUIRES_NATIVE_PIN_REVIEW</x:v>
      </x:c>
      <x:c r="R70" s="11" t="str">
        <x:v>User v5 scope; no procurement permission</x:v>
      </x:c>
      <x:c r="S70" s="11" t="str">
        <x:v>Inherited candidate quantity; netlist/thermal review pending</x:v>
      </x:c>
      <x:c r="T70" s="11" t="str">
        <x:v>UNKNOWN</x:v>
      </x:c>
      <x:c r="U70" s="11" t="str">
        <x:v>背面电子件 / 正面TX RX</x:v>
      </x:c>
      <x:c r="V70" s="11" t="str">
        <x:v>HOLD</x:v>
      </x:c>
    </x:row>
    <x:row r="71" ht="64" customHeight="1">
      <x:c r="A71" s="11" t="str">
        <x:v>B-067</x:v>
      </x:c>
      <x:c r="B71" s="11" t="str">
        <x:v>TX电阻调谐预留</x:v>
      </x:c>
      <x:c r="C71" s="11" t="str">
        <x:v>1.2kΩ 0603 DNP</x:v>
      </x:c>
      <x:c r="D71" s="11" t="str">
        <x:v>UNKNOWN_VERIFY</x:v>
      </x:c>
      <x:c r="E71" s="13" t="n">
        <x:v>0</x:v>
      </x:c>
      <x:c r="F71" s="14" t="n">
        <x:v>0.1</x:v>
      </x:c>
      <x:c r="G71" s="13" t="n">
        <x:f>ROUNDUP(E71*(1+F71),0)</x:f>
        <x:v>0</x:v>
      </x:c>
      <x:c r="H71" s="11" t="str"/>
      <x:c r="I71" s="11" t="str">
        <x:v>0603; Pin1/EP原生库待核</x:v>
      </x:c>
      <x:c r="J71" s="11" t="str">
        <x:v>128位置默认不装</x:v>
      </x:c>
      <x:c r="K71" s="11" t="str">
        <x:v>UNKNOWN</x:v>
      </x:c>
      <x:c r="L71" s="11" t="str">
        <x:v>CENTRAL_USB5V / 3V3</x:v>
      </x:c>
      <x:c r="M71" s="11" t="str">
        <x:v>https://github.com/loverlike1216/SonoField-FPGA/blob/main/v5/hardware/bom/BOM_MASTER.csv</x:v>
      </x:c>
      <x:c r="N71" s="11" t="str">
        <x:v>授权渠道待选；不默认替代</x:v>
      </x:c>
      <x:c r="O71" s="11" t="str">
        <x:v>UNKNOWN_VERIFY</x:v>
      </x:c>
      <x:c r="P71" s="11" t="str">
        <x:v>2026-10-11</x:v>
      </x:c>
      <x:c r="Q71" s="11" t="str">
        <x:v>INHERITED_CANDIDATE_REQUIRES_NATIVE_PIN_REVIEW</x:v>
      </x:c>
      <x:c r="R71" s="11" t="str">
        <x:v>User v5 scope; no procurement permission</x:v>
      </x:c>
      <x:c r="S71" s="11" t="str">
        <x:v>Inherited candidate quantity; netlist/thermal review pending</x:v>
      </x:c>
      <x:c r="T71" s="11" t="str">
        <x:v>UNKNOWN</x:v>
      </x:c>
      <x:c r="U71" s="11" t="str">
        <x:v>背面电子件 / 正面TX RX</x:v>
      </x:c>
      <x:c r="V71" s="11" t="str">
        <x:v>HOLD</x:v>
      </x:c>
    </x:row>
    <x:row r="72" ht="64" customHeight="1">
      <x:c r="A72" s="11" t="str">
        <x:v>B-068</x:v>
      </x:c>
      <x:c r="B72" s="11" t="str">
        <x:v>AFE增益调整预留</x:v>
      </x:c>
      <x:c r="C72" s="11" t="str">
        <x:v>39kΩ 0.1% DNP</x:v>
      </x:c>
      <x:c r="D72" s="11" t="str">
        <x:v>UNKNOWN_VERIFY</x:v>
      </x:c>
      <x:c r="E72" s="13" t="n">
        <x:v>0</x:v>
      </x:c>
      <x:c r="F72" s="14" t="n">
        <x:v>0.1</x:v>
      </x:c>
      <x:c r="G72" s="13" t="n">
        <x:f>ROUNDUP(E72*(1+F72),0)</x:f>
        <x:v>0</x:v>
      </x:c>
      <x:c r="H72" s="11" t="str"/>
      <x:c r="I72" s="11" t="str">
        <x:v>0603; Pin1/EP原生库待核</x:v>
      </x:c>
      <x:c r="J72" s="11" t="str">
        <x:v>默认不装；每通道调参位</x:v>
      </x:c>
      <x:c r="K72" s="11" t="str">
        <x:v>UNKNOWN</x:v>
      </x:c>
      <x:c r="L72" s="11" t="str">
        <x:v>CENTRAL_USB5V / 3V3</x:v>
      </x:c>
      <x:c r="M72" s="11" t="str">
        <x:v>https://github.com/loverlike1216/SonoField-FPGA/blob/main/v5/hardware/bom/BOM_MASTER.csv</x:v>
      </x:c>
      <x:c r="N72" s="11" t="str">
        <x:v>授权渠道待选；不默认替代</x:v>
      </x:c>
      <x:c r="O72" s="11" t="str">
        <x:v>UNKNOWN_VERIFY</x:v>
      </x:c>
      <x:c r="P72" s="11" t="str">
        <x:v>2026-10-11</x:v>
      </x:c>
      <x:c r="Q72" s="11" t="str">
        <x:v>INHERITED_CANDIDATE_REQUIRES_NATIVE_PIN_REVIEW</x:v>
      </x:c>
      <x:c r="R72" s="11" t="str">
        <x:v>User v5 scope; no procurement permission</x:v>
      </x:c>
      <x:c r="S72" s="11" t="str">
        <x:v>Inherited candidate quantity; netlist/thermal review pending</x:v>
      </x:c>
      <x:c r="T72" s="11" t="str">
        <x:v>UNKNOWN</x:v>
      </x:c>
      <x:c r="U72" s="11" t="str">
        <x:v>背面电子件 / 正面TX RX</x:v>
      </x:c>
      <x:c r="V72" s="11" t="str">
        <x:v>HOLD</x:v>
      </x:c>
    </x:row>
    <x:row r="73" ht="64" customHeight="1">
      <x:c r="A73" s="11" t="str">
        <x:v>B-069</x:v>
      </x:c>
      <x:c r="B73" s="11" t="str">
        <x:v>4层阵列PCB</x:v>
      </x:c>
      <x:c r="C73" s="11" t="str">
        <x:v>200x180mm_COMMON_ARRAY_EXTENSION_CANDIDATE</x:v>
      </x:c>
      <x:c r="D73" s="11" t="str">
        <x:v>UNKNOWN_VERIFY</x:v>
      </x:c>
      <x:c r="E73" s="13" t="n">
        <x:v>0</x:v>
      </x:c>
      <x:c r="F73" s="14" t="n">
        <x:v>0.1</x:v>
      </x:c>
      <x:c r="G73" s="13" t="n">
        <x:f>ROUNDUP(E73*(1+F73),0)</x:f>
        <x:v>0</x:v>
      </x:c>
      <x:c r="H73" s="11" t="str"/>
      <x:c r="I73" s="11" t="str">
        <x:v>PCB; Pin1/EP原生库待核</x:v>
      </x:c>
      <x:c r="J73" s="11" t="str">
        <x:v>单板64 TX+4RX+驱动/AFE；空间布局受限需密度审查</x:v>
      </x:c>
      <x:c r="K73" s="11" t="str">
        <x:v>UNKNOWN</x:v>
      </x:c>
      <x:c r="L73" s="11" t="str">
        <x:v>CENTRAL_USB5V / 3V3</x:v>
      </x:c>
      <x:c r="M73" s="11" t="str">
        <x:v>https://jlcpcb.com</x:v>
      </x:c>
      <x:c r="N73" s="11" t="str">
        <x:v>授权渠道待选；不默认替代</x:v>
      </x:c>
      <x:c r="O73" s="11" t="str">
        <x:v>UNKNOWN_VERIFY</x:v>
      </x:c>
      <x:c r="P73" s="11" t="str">
        <x:v>2026-10-11</x:v>
      </x:c>
      <x:c r="Q73" s="11" t="str">
        <x:v>INHERITED_CANDIDATE_REQUIRES_NATIVE_PIN_REVIEW</x:v>
      </x:c>
      <x:c r="R73" s="11" t="str">
        <x:v>User v5 scope; no procurement permission</x:v>
      </x:c>
      <x:c r="S73" s="11" t="str">
        <x:v>Electronics outside118.3mm acoustic projection; mechanical/routing/thermal proof HOLD</x:v>
      </x:c>
      <x:c r="T73" s="11" t="str">
        <x:v>UNKNOWN</x:v>
      </x:c>
      <x:c r="U73" s="11" t="str">
        <x:v>背面电子件 / 正面TX RX</x:v>
      </x:c>
      <x:c r="V73" s="11" t="str">
        <x:v>HOLD</x:v>
      </x:c>
    </x:row>
    <x:row r="74" ht="64" customHeight="1">
      <x:c r="A74" s="11" t="str">
        <x:v>B-070</x:v>
      </x:c>
      <x:c r="B74" s="11" t="str">
        <x:v>4层AX7020适配/ADC PCB</x:v>
      </x:c>
      <x:c r="C74" s="11" t="str">
        <x:v>100×80mm 4L候选</x:v>
      </x:c>
      <x:c r="D74" s="11" t="str">
        <x:v>UNKNOWN_VERIFY</x:v>
      </x:c>
      <x:c r="E74" s="13" t="n">
        <x:v>1</x:v>
      </x:c>
      <x:c r="F74" s="14" t="n">
        <x:v>0.1</x:v>
      </x:c>
      <x:c r="G74" s="13" t="n">
        <x:f>ROUNDUP(E74*(1+F74),0)</x:f>
        <x:v>2</x:v>
      </x:c>
      <x:c r="H74" s="11" t="str">
        <x:v>CE_B070_001</x:v>
      </x:c>
      <x:c r="I74" s="11" t="str">
        <x:v>PCB; Pin1/EP原生库待核</x:v>
      </x:c>
      <x:c r="J74" s="11" t="str">
        <x:v>尺寸随对接连接器/J10-J11位置确定</x:v>
      </x:c>
      <x:c r="K74" s="11" t="str">
        <x:v>UNKNOWN</x:v>
      </x:c>
      <x:c r="L74" s="11" t="str">
        <x:v>CENTRAL_USB5V / 3V3</x:v>
      </x:c>
      <x:c r="M74" s="11" t="str">
        <x:v>https://jlcpcb.com</x:v>
      </x:c>
      <x:c r="N74" s="11" t="str">
        <x:v>授权渠道待选；不默认替代</x:v>
      </x:c>
      <x:c r="O74" s="11" t="str">
        <x:v>UNKNOWN_VERIFY</x:v>
      </x:c>
      <x:c r="P74" s="11" t="str">
        <x:v>2026-10-11</x:v>
      </x:c>
      <x:c r="Q74" s="11" t="str">
        <x:v>INHERITED_CANDIDATE_REQUIRES_NATIVE_PIN_REVIEW</x:v>
      </x:c>
      <x:c r="R74" s="11" t="str">
        <x:v>User v5 scope; no procurement permission</x:v>
      </x:c>
      <x:c r="S74" s="11" t="str">
        <x:v>Central interface board ONLY AX7020 protected single source per rail; no central external12V</x:v>
      </x:c>
      <x:c r="T74" s="11" t="str">
        <x:v>UNKNOWN</x:v>
      </x:c>
      <x:c r="U74" s="11" t="str">
        <x:v>背面电子件 / 正面TX RX</x:v>
      </x:c>
      <x:c r="V74" s="11" t="str">
        <x:v>HOLD</x:v>
      </x:c>
    </x:row>
    <x:row r="75" ht="64" customHeight="1">
      <x:c r="A75" s="11" t="str">
        <x:v>B-071</x:v>
      </x:c>
      <x:c r="B75" s="11" t="str">
        <x:v>2层SHT45小板</x:v>
      </x:c>
      <x:c r="C75" s="11" t="str">
        <x:v>20×20mm 2L候选</x:v>
      </x:c>
      <x:c r="D75" s="11" t="str">
        <x:v>UNKNOWN_VERIFY</x:v>
      </x:c>
      <x:c r="E75" s="13" t="n">
        <x:v>0</x:v>
      </x:c>
      <x:c r="F75" s="14" t="n">
        <x:v>0.1</x:v>
      </x:c>
      <x:c r="G75" s="13" t="n">
        <x:f>ROUNDUP(E75*(1+F75),0)</x:f>
        <x:v>0</x:v>
      </x:c>
      <x:c r="H75" s="11" t="str"/>
      <x:c r="I75" s="11" t="str">
        <x:v>PCB; Pin1/EP原生库待核</x:v>
      </x:c>
      <x:c r="J75" s="11" t="str">
        <x:v>远离功率阵列</x:v>
      </x:c>
      <x:c r="K75" s="11" t="str">
        <x:v>UNKNOWN</x:v>
      </x:c>
      <x:c r="L75" s="11" t="str">
        <x:v>CENTRAL_USB5V / 3V3</x:v>
      </x:c>
      <x:c r="M75" s="11" t="str">
        <x:v>https://jlcpcb.com</x:v>
      </x:c>
      <x:c r="N75" s="11" t="str">
        <x:v>授权渠道待选；不默认替代</x:v>
      </x:c>
      <x:c r="O75" s="11" t="str">
        <x:v>UNKNOWN_VERIFY</x:v>
      </x:c>
      <x:c r="P75" s="11" t="str">
        <x:v>2026-10-11</x:v>
      </x:c>
      <x:c r="Q75" s="11" t="str">
        <x:v>INHERITED_CANDIDATE_REQUIRES_NATIVE_PIN_REVIEW</x:v>
      </x:c>
      <x:c r="R75" s="11" t="str">
        <x:v>User v5 scope; no procurement permission</x:v>
      </x:c>
      <x:c r="S75" s="11" t="str">
        <x:v>Inherited candidate quantity; netlist/thermal review pending</x:v>
      </x:c>
      <x:c r="T75" s="11" t="str">
        <x:v>UNKNOWN</x:v>
      </x:c>
      <x:c r="U75" s="11" t="str">
        <x:v>背面电子件 / 正面TX RX</x:v>
      </x:c>
      <x:c r="V75" s="11" t="str">
        <x:v>HOLD</x:v>
      </x:c>
    </x:row>
    <x:row r="76" ht="64" customHeight="1">
      <x:c r="A76" s="11" t="str">
        <x:v>B-072</x:v>
      </x:c>
      <x:c r="B76" s="11" t="str">
        <x:v>对置阵列固定件</x:v>
      </x:c>
      <x:c r="C76" s="11" t="str">
        <x:v>M3非磁性螺钉/尼龙柱/滑轨</x:v>
      </x:c>
      <x:c r="D76" s="11" t="str">
        <x:v>UNKNOWN_VERIFY</x:v>
      </x:c>
      <x:c r="E76" s="13" t="n">
        <x:v>0</x:v>
      </x:c>
      <x:c r="F76" s="14" t="n">
        <x:v>0.1</x:v>
      </x:c>
      <x:c r="G76" s="13" t="n">
        <x:f>ROUNDUP(E76*(1+F76),0)</x:f>
        <x:v>0</x:v>
      </x:c>
      <x:c r="H76" s="11" t="str"/>
      <x:c r="I76" s="11" t="str">
        <x:v>机械; Pin1/EP原生库待核</x:v>
      </x:c>
      <x:c r="J76" s="11" t="str">
        <x:v>上下间距90-115mm可调，名义100mm</x:v>
      </x:c>
      <x:c r="K76" s="11" t="str">
        <x:v>UNKNOWN</x:v>
      </x:c>
      <x:c r="L76" s="11" t="str">
        <x:v>CENTRAL_USB5V / 3V3</x:v>
      </x:c>
      <x:c r="M76" s="11" t="str">
        <x:v>https://github.com/loverlike1216/SonoField-FPGA/tree/main/v5</x:v>
      </x:c>
      <x:c r="N76" s="11" t="str">
        <x:v>授权渠道待选；不默认替代</x:v>
      </x:c>
      <x:c r="O76" s="11" t="str">
        <x:v>UNKNOWN_VERIFY</x:v>
      </x:c>
      <x:c r="P76" s="11" t="str">
        <x:v>2026-10-11</x:v>
      </x:c>
      <x:c r="Q76" s="11" t="str">
        <x:v>INHERITED_CANDIDATE_REQUIRES_NATIVE_PIN_REVIEW</x:v>
      </x:c>
      <x:c r="R76" s="11" t="str">
        <x:v>User v5 scope; no procurement permission</x:v>
      </x:c>
      <x:c r="S76" s="11" t="str">
        <x:v>Inherited candidate quantity; netlist/thermal review pending</x:v>
      </x:c>
      <x:c r="T76" s="11" t="str">
        <x:v>UNKNOWN</x:v>
      </x:c>
      <x:c r="U76" s="11" t="str">
        <x:v>背面电子件 / 正面TX RX</x:v>
      </x:c>
      <x:c r="V76" s="11" t="str">
        <x:v>HOLD</x:v>
      </x:c>
    </x:row>
    <x:row r="77" ht="64" customHeight="1">
      <x:c r="A77" s="11" t="str">
        <x:v>PC-001</x:v>
      </x:c>
      <x:c r="B77" s="11" t="str">
        <x:v>Remote I2C hot-swap isolation</x:v>
      </x:c>
      <x:c r="C77" s="11" t="str">
        <x:v>TCA4307DGKR</x:v>
      </x:c>
      <x:c r="D77" s="11" t="str">
        <x:v>UNKNOWN_VERIFY</x:v>
      </x:c>
      <x:c r="E77" s="13" t="n">
        <x:v>2</x:v>
      </x:c>
      <x:c r="F77" s="14" t="n">
        <x:v>0.1</x:v>
      </x:c>
      <x:c r="G77" s="13" t="n">
        <x:f>ROUNDUP(E77*(1+F77),0)</x:f>
        <x:v>3</x:v>
      </x:c>
      <x:c r="H77" s="11" t="str">
        <x:v>CE_PC001_001, CE_PC001_002</x:v>
      </x:c>
      <x:c r="I77" s="11" t="str">
        <x:v>VSSOP-8; Pin1/EP原生库待核</x:v>
      </x:c>
      <x:c r="J77" s="11" t="str">
        <x:v>CANDIDATE_REVIEW_REQUIRED</x:v>
      </x:c>
      <x:c r="K77" s="11" t="str">
        <x:v>UNKNOWN</x:v>
      </x:c>
      <x:c r="L77" s="11" t="str">
        <x:v>CENTRAL_USB5V / 3V3</x:v>
      </x:c>
      <x:c r="M77" s="11" t="str">
        <x:v>https://www.ti.com/product/TCA4307</x:v>
      </x:c>
      <x:c r="N77" s="11" t="str">
        <x:v>授权渠道待选；不默认替代</x:v>
      </x:c>
      <x:c r="O77" s="11" t="str">
        <x:v>UNKNOWN_VERIFY</x:v>
      </x:c>
      <x:c r="P77" s="11" t="str">
        <x:v>2026-10-11</x:v>
      </x:c>
      <x:c r="Q77" s="11" t="str">
        <x:v>INHERITED_CANDIDATE_REQUIRES_NATIVE_PIN_REVIEW</x:v>
      </x:c>
      <x:c r="R77" s="11" t="str">
        <x:v>User v5 scope; no procurement permission</x:v>
      </x:c>
      <x:c r="S77" s="11" t="str">
        <x:v>Electrical/thermal qualification HOLD</x:v>
      </x:c>
      <x:c r="T77" s="11" t="str">
        <x:v>UNKNOWN</x:v>
      </x:c>
      <x:c r="U77" s="11" t="str">
        <x:v>背面电子件 / 正面TX RX</x:v>
      </x:c>
      <x:c r="V77" s="11" t="str">
        <x:v>HOLD</x:v>
      </x:c>
    </x:row>
    <x:row r="78" ht="64" customHeight="1">
      <x:c r="A78" s="11" t="str">
        <x:v>PC-002</x:v>
      </x:c>
      <x:c r="B78" s="11" t="str">
        <x:v>Driver hotspot independent comparator</x:v>
      </x:c>
      <x:c r="C78" s="11" t="str">
        <x:v>PART_SELECTION_HOLD</x:v>
      </x:c>
      <x:c r="D78" s="11" t="str">
        <x:v>UNKNOWN_VERIFY</x:v>
      </x:c>
      <x:c r="E78" s="13" t="n">
        <x:v>0</x:v>
      </x:c>
      <x:c r="F78" s="14" t="n">
        <x:v>0.1</x:v>
      </x:c>
      <x:c r="G78" s="13" t="n">
        <x:f>ROUNDUP(E78*(1+F78),0)</x:f>
        <x:v>0</x:v>
      </x:c>
      <x:c r="H78" s="11" t="str"/>
      <x:c r="I78" s="11" t="str">
        <x:v>HOLD; Pin1/EP原生库待核</x:v>
      </x:c>
      <x:c r="J78" s="11" t="str">
        <x:v>CANDIDATE_REVIEW_REQUIRED</x:v>
      </x:c>
      <x:c r="K78" s="11" t="str">
        <x:v>UNKNOWN</x:v>
      </x:c>
      <x:c r="L78" s="11" t="str">
        <x:v>CENTRAL_USB5V / 3V3</x:v>
      </x:c>
      <x:c r="M78" s="11" t="str">
        <x:v>USER_SAFETY_REQUIREMENT</x:v>
      </x:c>
      <x:c r="N78" s="11" t="str">
        <x:v>授权渠道待选；不默认替代</x:v>
      </x:c>
      <x:c r="O78" s="11" t="str">
        <x:v>UNKNOWN_VERIFY</x:v>
      </x:c>
      <x:c r="P78" s="11" t="str">
        <x:v>2026-10-11</x:v>
      </x:c>
      <x:c r="Q78" s="11" t="str">
        <x:v>INHERITED_CANDIDATE_REQUIRES_NATIVE_PIN_REVIEW</x:v>
      </x:c>
      <x:c r="R78" s="11" t="str">
        <x:v>User v5 scope; no procurement permission</x:v>
      </x:c>
      <x:c r="S78" s="11" t="str">
        <x:v>SUPERSEDED_OR_OPTIONAL_DNP: see new H entries; not installed twice</x:v>
      </x:c>
      <x:c r="T78" s="11" t="str">
        <x:v>UNKNOWN</x:v>
      </x:c>
      <x:c r="U78" s="11" t="str">
        <x:v>背面电子件 / 正面TX RX</x:v>
      </x:c>
      <x:c r="V78" s="11" t="str">
        <x:v>HOLD</x:v>
      </x:c>
    </x:row>
    <x:row r="79" ht="64" customHeight="1">
      <x:c r="A79" s="11" t="str">
        <x:v>PC-003</x:v>
      </x:c>
      <x:c r="B79" s="11" t="str">
        <x:v>Central header reverse-blocking protection</x:v>
      </x:c>
      <x:c r="C79" s="11" t="str">
        <x:v>PART_SELECTION_HOLD</x:v>
      </x:c>
      <x:c r="D79" s="11" t="str">
        <x:v>UNKNOWN_VERIFY</x:v>
      </x:c>
      <x:c r="E79" s="13" t="n">
        <x:v>0</x:v>
      </x:c>
      <x:c r="F79" s="14" t="n">
        <x:v>0.1</x:v>
      </x:c>
      <x:c r="G79" s="13" t="n">
        <x:f>ROUNDUP(E79*(1+F79),0)</x:f>
        <x:v>0</x:v>
      </x:c>
      <x:c r="H79" s="11" t="str"/>
      <x:c r="I79" s="11" t="str">
        <x:v>HOLD; Pin1/EP原生库待核</x:v>
      </x:c>
      <x:c r="J79" s="11" t="str">
        <x:v>CANDIDATE_REVIEW_REQUIRED</x:v>
      </x:c>
      <x:c r="K79" s="11" t="str">
        <x:v>UNKNOWN</x:v>
      </x:c>
      <x:c r="L79" s="11" t="str">
        <x:v>CENTRAL_USB5V / 3V3</x:v>
      </x:c>
      <x:c r="M79" s="11" t="str">
        <x:v>USER_AX7020_POWER_ONLY_REQUIREMENT</x:v>
      </x:c>
      <x:c r="N79" s="11" t="str">
        <x:v>授权渠道待选；不默认替代</x:v>
      </x:c>
      <x:c r="O79" s="11" t="str">
        <x:v>UNKNOWN_VERIFY</x:v>
      </x:c>
      <x:c r="P79" s="11" t="str">
        <x:v>2026-10-11</x:v>
      </x:c>
      <x:c r="Q79" s="11" t="str">
        <x:v>INHERITED_CANDIDATE_REQUIRES_NATIVE_PIN_REVIEW</x:v>
      </x:c>
      <x:c r="R79" s="11" t="str">
        <x:v>User v5 scope; no procurement permission</x:v>
      </x:c>
      <x:c r="S79" s="11" t="str">
        <x:v>SUPERSEDED_OR_OPTIONAL_DNP: see new H entries; not installed twice</x:v>
      </x:c>
      <x:c r="T79" s="11" t="str">
        <x:v>UNKNOWN</x:v>
      </x:c>
      <x:c r="U79" s="11" t="str">
        <x:v>背面电子件 / 正面TX RX</x:v>
      </x:c>
      <x:c r="V79" s="11" t="str">
        <x:v>HOLD</x:v>
      </x:c>
    </x:row>
    <x:row r="80" ht="64" customHeight="1">
      <x:c r="A80" s="11" t="str">
        <x:v>PC-004</x:v>
      </x:c>
      <x:c r="B80" s="11" t="str">
        <x:v>NC emergency stop independent contact</x:v>
      </x:c>
      <x:c r="C80" s="11" t="str">
        <x:v>PART_SELECTION_HOLD</x:v>
      </x:c>
      <x:c r="D80" s="11" t="str">
        <x:v>UNKNOWN_VERIFY</x:v>
      </x:c>
      <x:c r="E80" s="13" t="n">
        <x:v>0</x:v>
      </x:c>
      <x:c r="F80" s="14" t="n">
        <x:v>0.1</x:v>
      </x:c>
      <x:c r="G80" s="13" t="n">
        <x:f>ROUNDUP(E80*(1+F80),0)</x:f>
        <x:v>0</x:v>
      </x:c>
      <x:c r="H80" s="11" t="str"/>
      <x:c r="I80" s="11" t="str">
        <x:v>HOLD; Pin1/EP原生库待核</x:v>
      </x:c>
      <x:c r="J80" s="11" t="str">
        <x:v>CANDIDATE_REVIEW_REQUIRED</x:v>
      </x:c>
      <x:c r="K80" s="11" t="str">
        <x:v>UNKNOWN</x:v>
      </x:c>
      <x:c r="L80" s="11" t="str">
        <x:v>CENTRAL_USB5V / 3V3</x:v>
      </x:c>
      <x:c r="M80" s="11" t="str">
        <x:v>USER_SAFETY_REQUIREMENT</x:v>
      </x:c>
      <x:c r="N80" s="11" t="str">
        <x:v>授权渠道待选；不默认替代</x:v>
      </x:c>
      <x:c r="O80" s="11" t="str">
        <x:v>UNKNOWN_VERIFY</x:v>
      </x:c>
      <x:c r="P80" s="11" t="str">
        <x:v>2026-10-11</x:v>
      </x:c>
      <x:c r="Q80" s="11" t="str">
        <x:v>INHERITED_CANDIDATE_REQUIRES_NATIVE_PIN_REVIEW</x:v>
      </x:c>
      <x:c r="R80" s="11" t="str">
        <x:v>User v5 scope; no procurement permission</x:v>
      </x:c>
      <x:c r="S80" s="11" t="str">
        <x:v>SUPERSEDED_OR_OPTIONAL_DNP: see new H entries; not installed twice</x:v>
      </x:c>
      <x:c r="T80" s="11" t="str">
        <x:v>UNKNOWN</x:v>
      </x:c>
      <x:c r="U80" s="11" t="str">
        <x:v>背面电子件 / 正面TX RX</x:v>
      </x:c>
      <x:c r="V80" s="11" t="str">
        <x:v>HOLD</x:v>
      </x:c>
    </x:row>
    <x:row r="81" ht="64" customHeight="1">
      <x:c r="A81" s="11" t="str">
        <x:v>NS-001</x:v>
      </x:c>
      <x:c r="B81" s="11" t="str">
        <x:v>Independent NC estop safety loop connector</x:v>
      </x:c>
      <x:c r="C81" s="11" t="str">
        <x:v>PART_SELECTION_HOLD</x:v>
      </x:c>
      <x:c r="D81" s="11" t="str">
        <x:v>UNKNOWN_VERIFY</x:v>
      </x:c>
      <x:c r="E81" s="13" t="n">
        <x:v>1</x:v>
      </x:c>
      <x:c r="F81" s="14" t="n">
        <x:v>0.1</x:v>
      </x:c>
      <x:c r="G81" s="13" t="n">
        <x:f>ROUNDUP(E81*(1+F81),0)</x:f>
        <x:v>2</x:v>
      </x:c>
      <x:c r="H81" s="11" t="str">
        <x:v>CE_NS001_001</x:v>
      </x:c>
      <x:c r="I81" s="11" t="str">
        <x:v>UNKNOWN; Pin1/EP原生库待核</x:v>
      </x:c>
      <x:c r="J81" s="11" t="str">
        <x:v>LOGIC/12V_DOMAIN_REVIEW</x:v>
      </x:c>
      <x:c r="K81" s="11" t="str">
        <x:v>UNKNOWN</x:v>
      </x:c>
      <x:c r="L81" s="11" t="str">
        <x:v>CENTRAL_USB5V / 3V3</x:v>
      </x:c>
      <x:c r="M81" s="11" t="str">
        <x:v>Current user GateC3/D1</x:v>
      </x:c>
      <x:c r="N81" s="11" t="str">
        <x:v>授权渠道待选；不默认替代</x:v>
      </x:c>
      <x:c r="O81" s="11" t="str">
        <x:v>UNKNOWN_VERIFY</x:v>
      </x:c>
      <x:c r="P81" s="11" t="str">
        <x:v>2026-10-11</x:v>
      </x:c>
      <x:c r="Q81" s="11" t="str">
        <x:v>INHERITED_CANDIDATE_REQUIRES_NATIVE_PIN_REVIEW</x:v>
      </x:c>
      <x:c r="R81" s="11" t="str">
        <x:v>User v5 scope; no procurement permission</x:v>
      </x:c>
      <x:c r="S81" s="11" t="str">
        <x:v>Power-loss/cable/unpowered/clock-stop physical injection required</x:v>
      </x:c>
      <x:c r="T81" s="11" t="str">
        <x:v>UNKNOWN</x:v>
      </x:c>
      <x:c r="U81" s="11" t="str">
        <x:v>背面电子件 / 正面TX RX</x:v>
      </x:c>
      <x:c r="V81" s="11" t="str">
        <x:v>HOLD</x:v>
      </x:c>
    </x:row>
    <x:row r="82" ht="64" customHeight="1">
      <x:c r="A82" s="11" t="str">
        <x:v>NS-002</x:v>
      </x:c>
      <x:c r="B82" s="11" t="str">
        <x:v>Independent thermal comparator and threshold network</x:v>
      </x:c>
      <x:c r="C82" s="11" t="str">
        <x:v>PART_SELECTION_HOLD</x:v>
      </x:c>
      <x:c r="D82" s="11" t="str">
        <x:v>UNKNOWN_VERIFY</x:v>
      </x:c>
      <x:c r="E82" s="13" t="n">
        <x:v>0</x:v>
      </x:c>
      <x:c r="F82" s="14" t="n">
        <x:v>0.1</x:v>
      </x:c>
      <x:c r="G82" s="13" t="n">
        <x:f>ROUNDUP(E82*(1+F82),0)</x:f>
        <x:v>0</x:v>
      </x:c>
      <x:c r="H82" s="11" t="str"/>
      <x:c r="I82" s="11" t="str">
        <x:v>UNKNOWN; Pin1/EP原生库待核</x:v>
      </x:c>
      <x:c r="J82" s="11" t="str">
        <x:v>LOGIC/12V_DOMAIN_REVIEW</x:v>
      </x:c>
      <x:c r="K82" s="11" t="str">
        <x:v>UNKNOWN</x:v>
      </x:c>
      <x:c r="L82" s="11" t="str">
        <x:v>CENTRAL_USB5V / 3V3</x:v>
      </x:c>
      <x:c r="M82" s="11" t="str">
        <x:v>Current user GateC3/D1</x:v>
      </x:c>
      <x:c r="N82" s="11" t="str">
        <x:v>授权渠道待选；不默认替代</x:v>
      </x:c>
      <x:c r="O82" s="11" t="str">
        <x:v>UNKNOWN_VERIFY</x:v>
      </x:c>
      <x:c r="P82" s="11" t="str">
        <x:v>2026-10-11</x:v>
      </x:c>
      <x:c r="Q82" s="11" t="str">
        <x:v>INHERITED_CANDIDATE_REQUIRES_NATIVE_PIN_REVIEW</x:v>
      </x:c>
      <x:c r="R82" s="11" t="str">
        <x:v>User v5 scope; no procurement permission</x:v>
      </x:c>
      <x:c r="S82" s="11" t="str">
        <x:v>SUPERSEDED_OR_OPTIONAL_DNP: see new H entries; not installed twice</x:v>
      </x:c>
      <x:c r="T82" s="11" t="str">
        <x:v>UNKNOWN</x:v>
      </x:c>
      <x:c r="U82" s="11" t="str">
        <x:v>背面电子件 / 正面TX RX</x:v>
      </x:c>
      <x:c r="V82" s="11" t="str">
        <x:v>HOLD</x:v>
      </x:c>
    </x:row>
    <x:row r="83" ht="64" customHeight="1">
      <x:c r="A83" s="11" t="str">
        <x:v>NS-003</x:v>
      </x:c>
      <x:c r="B83" s="11" t="str">
        <x:v>Cold-start/rearm latch and power-good AND cutoff controller</x:v>
      </x:c>
      <x:c r="C83" s="11" t="str">
        <x:v>PART_SELECTION_HOLD</x:v>
      </x:c>
      <x:c r="D83" s="11" t="str">
        <x:v>UNKNOWN_VERIFY</x:v>
      </x:c>
      <x:c r="E83" s="13" t="n">
        <x:v>0</x:v>
      </x:c>
      <x:c r="F83" s="14" t="n">
        <x:v>0.1</x:v>
      </x:c>
      <x:c r="G83" s="13" t="n">
        <x:f>ROUNDUP(E83*(1+F83),0)</x:f>
        <x:v>0</x:v>
      </x:c>
      <x:c r="H83" s="11" t="str"/>
      <x:c r="I83" s="11" t="str">
        <x:v>UNKNOWN; Pin1/EP原生库待核</x:v>
      </x:c>
      <x:c r="J83" s="11" t="str">
        <x:v>LOGIC/12V_DOMAIN_REVIEW</x:v>
      </x:c>
      <x:c r="K83" s="11" t="str">
        <x:v>UNKNOWN</x:v>
      </x:c>
      <x:c r="L83" s="11" t="str">
        <x:v>CENTRAL_USB5V / 3V3</x:v>
      </x:c>
      <x:c r="M83" s="11" t="str">
        <x:v>Current user GateC3/D1</x:v>
      </x:c>
      <x:c r="N83" s="11" t="str">
        <x:v>授权渠道待选；不默认替代</x:v>
      </x:c>
      <x:c r="O83" s="11" t="str">
        <x:v>UNKNOWN_VERIFY</x:v>
      </x:c>
      <x:c r="P83" s="11" t="str">
        <x:v>2026-10-11</x:v>
      </x:c>
      <x:c r="Q83" s="11" t="str">
        <x:v>INHERITED_CANDIDATE_REQUIRES_NATIVE_PIN_REVIEW</x:v>
      </x:c>
      <x:c r="R83" s="11" t="str">
        <x:v>User v5 scope; no procurement permission</x:v>
      </x:c>
      <x:c r="S83" s="11" t="str">
        <x:v>SUPERSEDED_OR_OPTIONAL_DNP: see new H entries; not installed twice</x:v>
      </x:c>
      <x:c r="T83" s="11" t="str">
        <x:v>UNKNOWN</x:v>
      </x:c>
      <x:c r="U83" s="11" t="str">
        <x:v>背面电子件 / 正面TX RX</x:v>
      </x:c>
      <x:c r="V83" s="11" t="str">
        <x:v>HOLD</x:v>
      </x:c>
    </x:row>
    <x:row r="84" ht="64" customHeight="1">
      <x:c r="A84" s="11" t="str">
        <x:v>NS-004</x:v>
      </x:c>
      <x:c r="B84" s="11" t="str">
        <x:v>Driver rail discharge/bleed and reset default-off network</x:v>
      </x:c>
      <x:c r="C84" s="11" t="str">
        <x:v>PART_SELECTION_HOLD</x:v>
      </x:c>
      <x:c r="D84" s="11" t="str">
        <x:v>UNKNOWN_VERIFY</x:v>
      </x:c>
      <x:c r="E84" s="13" t="n">
        <x:v>0</x:v>
      </x:c>
      <x:c r="F84" s="14" t="n">
        <x:v>0.1</x:v>
      </x:c>
      <x:c r="G84" s="13" t="n">
        <x:f>ROUNDUP(E84*(1+F84),0)</x:f>
        <x:v>0</x:v>
      </x:c>
      <x:c r="H84" s="11" t="str"/>
      <x:c r="I84" s="11" t="str">
        <x:v>UNKNOWN; Pin1/EP原生库待核</x:v>
      </x:c>
      <x:c r="J84" s="11" t="str">
        <x:v>LOGIC/12V_DOMAIN_REVIEW</x:v>
      </x:c>
      <x:c r="K84" s="11" t="str">
        <x:v>UNKNOWN</x:v>
      </x:c>
      <x:c r="L84" s="11" t="str">
        <x:v>CENTRAL_USB5V / 3V3</x:v>
      </x:c>
      <x:c r="M84" s="11" t="str">
        <x:v>Current user GateC3/D1</x:v>
      </x:c>
      <x:c r="N84" s="11" t="str">
        <x:v>授权渠道待选；不默认替代</x:v>
      </x:c>
      <x:c r="O84" s="11" t="str">
        <x:v>UNKNOWN_VERIFY</x:v>
      </x:c>
      <x:c r="P84" s="11" t="str">
        <x:v>2026-10-11</x:v>
      </x:c>
      <x:c r="Q84" s="11" t="str">
        <x:v>INHERITED_CANDIDATE_REQUIRES_NATIVE_PIN_REVIEW</x:v>
      </x:c>
      <x:c r="R84" s="11" t="str">
        <x:v>User v5 scope; no procurement permission</x:v>
      </x:c>
      <x:c r="S84" s="11" t="str">
        <x:v>Power-loss/cable/unpowered/clock-stop physical injection required</x:v>
      </x:c>
      <x:c r="T84" s="11" t="str">
        <x:v>UNKNOWN</x:v>
      </x:c>
      <x:c r="U84" s="11" t="str">
        <x:v>背面电子件 / 正面TX RX</x:v>
      </x:c>
      <x:c r="V84" s="11" t="str">
        <x:v>HOLD</x:v>
      </x:c>
    </x:row>
    <x:row r="85" ht="64" customHeight="1">
      <x:c r="A85" s="11" t="str">
        <x:v>H-001</x:v>
      </x:c>
      <x:c r="B85" s="11" t="str">
        <x:v>中央 Type-C 5V Sink</x:v>
      </x:c>
      <x:c r="C85" s="11" t="str">
        <x:v>STUSB4500LQTR</x:v>
      </x:c>
      <x:c r="D85" s="11" t="str">
        <x:v>STMicroelectronics</x:v>
      </x:c>
      <x:c r="E85" s="13" t="n">
        <x:v>1</x:v>
      </x:c>
      <x:c r="F85" s="14" t="n">
        <x:v>0.1</x:v>
      </x:c>
      <x:c r="G85" s="13" t="n">
        <x:f>ROUNDUP(E85*(1+F85),0)</x:f>
        <x:v>2</x:v>
      </x:c>
      <x:c r="H85" s="11" t="str">
        <x:v>CE_H001_001</x:v>
      </x:c>
      <x:c r="I85" s="11" t="str">
        <x:v>QFN24_EP_VERIFY; Pin1/EP原生库待核</x:v>
      </x:c>
      <x:c r="J85" s="11" t="str">
        <x:v>SEE_POWER_DOMAIN_CONTRACT</x:v>
      </x:c>
      <x:c r="K85" s="11" t="str">
        <x:v>UNKNOWN</x:v>
      </x:c>
      <x:c r="L85" s="11" t="str">
        <x:v>CENTRAL_USB5V / 3V3</x:v>
      </x:c>
      <x:c r="M85" s="11" t="str">
        <x:v>https://www.st.com/resource/en/datasheet/stusb4500l.pdf</x:v>
      </x:c>
      <x:c r="N85" s="11" t="str">
        <x:v>授权渠道待选；不默认替代</x:v>
      </x:c>
      <x:c r="O85" s="11" t="str">
        <x:v>SEE_SOURCE_REGISTER</x:v>
      </x:c>
      <x:c r="P85" s="11" t="str">
        <x:v>2026-10-11</x:v>
      </x:c>
      <x:c r="Q85" s="11" t="str">
        <x:v>CANDIDATE</x:v>
      </x:c>
      <x:c r="R85" s="11" t="str">
        <x:v>User hardware design direction, electrical release pending</x:v>
      </x:c>
      <x:c r="S85" s="11" t="str">
        <x:v>CC default/1.5A/3A detection and load inhibit required</x:v>
      </x:c>
      <x:c r="T85" s="11" t="str">
        <x:v>UNKNOWN</x:v>
      </x:c>
      <x:c r="U85" s="11" t="str">
        <x:v>背面电子件 / 正面TX RX</x:v>
      </x:c>
      <x:c r="V85" s="11" t="str">
        <x:v>HOLD</x:v>
      </x:c>
    </x:row>
    <x:row r="86" ht="64" customHeight="1">
      <x:c r="A86" s="11" t="str">
        <x:v>H-002</x:v>
      </x:c>
      <x:c r="B86" s="11" t="str">
        <x:v>中央 Type-C 电源插座</x:v>
      </x:c>
      <x:c r="C86" s="11" t="str">
        <x:v>TYPE_C_RECEPTACLE_MPN_TBD</x:v>
      </x:c>
      <x:c r="D86" s="11" t="str">
        <x:v>UNKNOWN_VERIFY</x:v>
      </x:c>
      <x:c r="E86" s="13" t="n">
        <x:v>1</x:v>
      </x:c>
      <x:c r="F86" s="14" t="n">
        <x:v>0.1</x:v>
      </x:c>
      <x:c r="G86" s="13" t="n">
        <x:f>ROUNDUP(E86*(1+F86),0)</x:f>
        <x:v>2</x:v>
      </x:c>
      <x:c r="H86" s="11" t="str">
        <x:v>CE_H002_001</x:v>
      </x:c>
      <x:c r="I86" s="11" t="str">
        <x:v>NATIVE_FOOTPRINT_TBD; Pin1/EP原生库待核</x:v>
      </x:c>
      <x:c r="J86" s="11" t="str">
        <x:v>SEE_POWER_DOMAIN_CONTRACT</x:v>
      </x:c>
      <x:c r="K86" s="11" t="str">
        <x:v>UNKNOWN</x:v>
      </x:c>
      <x:c r="L86" s="11" t="str">
        <x:v>CENTRAL_USB5V / 3V3</x:v>
      </x:c>
      <x:c r="M86" s="11" t="str">
        <x:v>CANDIDATE</x:v>
      </x:c>
      <x:c r="N86" s="11" t="str">
        <x:v>授权渠道待选；不默认替代</x:v>
      </x:c>
      <x:c r="O86" s="11" t="str">
        <x:v>SEE_SOURCE_REGISTER</x:v>
      </x:c>
      <x:c r="P86" s="11" t="str">
        <x:v>2026-10-11</x:v>
      </x:c>
      <x:c r="Q86" s="11" t="str">
        <x:v>CANDIDATE</x:v>
      </x:c>
      <x:c r="R86" s="11" t="str">
        <x:v>User hardware design direction, electrical release pending</x:v>
      </x:c>
      <x:c r="S86" s="11" t="str">
        <x:v>Pin/native library/electrical review required</x:v>
      </x:c>
      <x:c r="T86" s="11" t="str">
        <x:v>UNKNOWN</x:v>
      </x:c>
      <x:c r="U86" s="11" t="str">
        <x:v>背面电子件 / 正面TX RX</x:v>
      </x:c>
      <x:c r="V86" s="11" t="str">
        <x:v>HOLD</x:v>
      </x:c>
    </x:row>
    <x:row r="87" ht="64" customHeight="1">
      <x:c r="A87" s="11" t="str">
        <x:v>H-003</x:v>
      </x:c>
      <x:c r="B87" s="11" t="str">
        <x:v>阵列 DC5.5x2.5 插座</x:v>
      </x:c>
      <x:c r="C87" s="11" t="str">
        <x:v>PJ-002BH</x:v>
      </x:c>
      <x:c r="D87" s="11" t="str">
        <x:v>Same Sky</x:v>
      </x:c>
      <x:c r="E87" s="13" t="n">
        <x:v>0</x:v>
      </x:c>
      <x:c r="F87" s="14" t="n">
        <x:v>0.1</x:v>
      </x:c>
      <x:c r="G87" s="13" t="n">
        <x:f>ROUNDUP(E87*(1+F87),0)</x:f>
        <x:v>0</x:v>
      </x:c>
      <x:c r="H87" s="11" t="str"/>
      <x:c r="I87" s="11" t="str">
        <x:v>THT3_SWITCH_CONTACT; Pin1/EP原生库待核</x:v>
      </x:c>
      <x:c r="J87" s="11" t="str">
        <x:v>SEE_POWER_DOMAIN_CONTRACT</x:v>
      </x:c>
      <x:c r="K87" s="11" t="str">
        <x:v>UNKNOWN</x:v>
      </x:c>
      <x:c r="L87" s="11" t="str">
        <x:v>CENTRAL_USB5V / 3V3</x:v>
      </x:c>
      <x:c r="M87" s="11" t="str">
        <x:v>https://www.sameskydevices.com/product/resource/pj-002bh.pdf</x:v>
      </x:c>
      <x:c r="N87" s="11" t="str">
        <x:v>授权渠道待选；不默认替代</x:v>
      </x:c>
      <x:c r="O87" s="11" t="str">
        <x:v>SEE_SOURCE_REGISTER</x:v>
      </x:c>
      <x:c r="P87" s="11" t="str">
        <x:v>2026-10-11</x:v>
      </x:c>
      <x:c r="Q87" s="11" t="str">
        <x:v>CANDIDATE</x:v>
      </x:c>
      <x:c r="R87" s="11" t="str">
        <x:v>User hardware design direction, electrical release pending</x:v>
      </x:c>
      <x:c r="S87" s="11" t="str">
        <x:v>5A nominal/30mohm; switch lug not independent source; temperature derating HOLD</x:v>
      </x:c>
      <x:c r="T87" s="11" t="str">
        <x:v>UNKNOWN</x:v>
      </x:c>
      <x:c r="U87" s="11" t="str">
        <x:v>背面电子件 / 正面TX RX</x:v>
      </x:c>
      <x:c r="V87" s="11" t="str">
        <x:v>HOLD</x:v>
      </x:c>
    </x:row>
    <x:row r="88" ht="64" customHeight="1">
      <x:c r="A88" s="11" t="str">
        <x:v>H-004</x:v>
      </x:c>
      <x:c r="B88" s="11" t="str">
        <x:v>阵列 eFuse</x:v>
      </x:c>
      <x:c r="C88" s="11" t="str">
        <x:v>TPS26631RGER</x:v>
      </x:c>
      <x:c r="D88" s="11" t="str">
        <x:v>Texas Instruments</x:v>
      </x:c>
      <x:c r="E88" s="13" t="n">
        <x:v>0</x:v>
      </x:c>
      <x:c r="F88" s="14" t="n">
        <x:v>0.1</x:v>
      </x:c>
      <x:c r="G88" s="13" t="n">
        <x:f>ROUNDUP(E88*(1+F88),0)</x:f>
        <x:v>0</x:v>
      </x:c>
      <x:c r="H88" s="11" t="str"/>
      <x:c r="I88" s="11" t="str">
        <x:v>VQFN24_RGE_EP; Pin1/EP原生库待核</x:v>
      </x:c>
      <x:c r="J88" s="11" t="str">
        <x:v>SEE_POWER_DOMAIN_CONTRACT</x:v>
      </x:c>
      <x:c r="K88" s="11" t="str">
        <x:v>UNKNOWN</x:v>
      </x:c>
      <x:c r="L88" s="11" t="str">
        <x:v>CENTRAL_USB5V / 3V3</x:v>
      </x:c>
      <x:c r="M88" s="11" t="str">
        <x:v>https://www.ti.com/lit/ds/symlink/tps2663.pdf</x:v>
      </x:c>
      <x:c r="N88" s="11" t="str">
        <x:v>授权渠道待选；不默认替代</x:v>
      </x:c>
      <x:c r="O88" s="11" t="str">
        <x:v>SEE_SOURCE_REGISTER</x:v>
      </x:c>
      <x:c r="P88" s="11" t="str">
        <x:v>2026-10-11</x:v>
      </x:c>
      <x:c r="Q88" s="11" t="str">
        <x:v>CANDIDATE</x:v>
      </x:c>
      <x:c r="R88" s="11" t="str">
        <x:v>User hardware design direction, electrical release pending</x:v>
      </x:c>
      <x:c r="S88" s="11" t="str">
        <x:v>2x pulse support; RILIM/UVLO/OVP/fuse coordination HOLD, not automatic5A setting</x:v>
      </x:c>
      <x:c r="T88" s="11" t="str">
        <x:v>UNKNOWN</x:v>
      </x:c>
      <x:c r="U88" s="11" t="str">
        <x:v>背面电子件 / 正面TX RX</x:v>
      </x:c>
      <x:c r="V88" s="11" t="str">
        <x:v>HOLD</x:v>
      </x:c>
    </x:row>
    <x:row r="89" ht="64" customHeight="1">
      <x:c r="A89" s="11" t="str">
        <x:v>H-005</x:v>
      </x:c>
      <x:c r="B89" s="11" t="str">
        <x:v>中央 I2C 3域选择</x:v>
      </x:c>
      <x:c r="C89" s="11" t="str">
        <x:v>TCA9548APWR</x:v>
      </x:c>
      <x:c r="D89" s="11" t="str">
        <x:v>Texas Instruments</x:v>
      </x:c>
      <x:c r="E89" s="13" t="n">
        <x:v>1</x:v>
      </x:c>
      <x:c r="F89" s="14" t="n">
        <x:v>0.1</x:v>
      </x:c>
      <x:c r="G89" s="13" t="n">
        <x:f>ROUNDUP(E89*(1+F89),0)</x:f>
        <x:v>2</x:v>
      </x:c>
      <x:c r="H89" s="11" t="str">
        <x:v>CE_H005_001</x:v>
      </x:c>
      <x:c r="I89" s="11" t="str">
        <x:v>TSSOP24_PW; Pin1/EP原生库待核</x:v>
      </x:c>
      <x:c r="J89" s="11" t="str">
        <x:v>SEE_POWER_DOMAIN_CONTRACT</x:v>
      </x:c>
      <x:c r="K89" s="11" t="str">
        <x:v>UNKNOWN</x:v>
      </x:c>
      <x:c r="L89" s="11" t="str">
        <x:v>CENTRAL_USB5V / 3V3</x:v>
      </x:c>
      <x:c r="M89" s="11" t="str">
        <x:v>https://www.ti.com/lit/ds/symlink/tca9548a.pdf</x:v>
      </x:c>
      <x:c r="N89" s="11" t="str">
        <x:v>授权渠道待选；不默认替代</x:v>
      </x:c>
      <x:c r="O89" s="11" t="str">
        <x:v>SEE_SOURCE_REGISTER</x:v>
      </x:c>
      <x:c r="P89" s="11" t="str">
        <x:v>2026-10-11</x:v>
      </x:c>
      <x:c r="Q89" s="11" t="str">
        <x:v>CANDIDATE</x:v>
      </x:c>
      <x:c r="R89" s="11" t="str">
        <x:v>User hardware design direction, electrical release pending</x:v>
      </x:c>
      <x:c r="S89" s="11" t="str">
        <x:v>Independent RESET still required for selected stuck-low branch</x:v>
      </x:c>
      <x:c r="T89" s="11" t="str">
        <x:v>UNKNOWN</x:v>
      </x:c>
      <x:c r="U89" s="11" t="str">
        <x:v>背面电子件 / 正面TX RX</x:v>
      </x:c>
      <x:c r="V89" s="11" t="str">
        <x:v>HOLD</x:v>
      </x:c>
    </x:row>
    <x:row r="90" ht="64" customHeight="1">
      <x:c r="A90" s="11" t="str">
        <x:v>H-006</x:v>
      </x:c>
      <x:c r="B90" s="11" t="str">
        <x:v>已有B021覆盖三颗，无重复装配</x:v>
      </x:c>
      <x:c r="C90" s="11" t="str">
        <x:v>INA226AIDGSR</x:v>
      </x:c>
      <x:c r="D90" s="11" t="str">
        <x:v>Texas Instruments</x:v>
      </x:c>
      <x:c r="E90" s="13" t="n">
        <x:v>0</x:v>
      </x:c>
      <x:c r="F90" s="14" t="n">
        <x:v>0.1</x:v>
      </x:c>
      <x:c r="G90" s="13" t="n">
        <x:f>ROUNDUP(E90*(1+F90),0)</x:f>
        <x:v>0</x:v>
      </x:c>
      <x:c r="H90" s="11" t="str"/>
      <x:c r="I90" s="11" t="str">
        <x:v>VSSOP10_DGS; Pin1/EP原生库待核</x:v>
      </x:c>
      <x:c r="J90" s="11" t="str">
        <x:v>SEE_POWER_DOMAIN_CONTRACT</x:v>
      </x:c>
      <x:c r="K90" s="11" t="str">
        <x:v>UNKNOWN</x:v>
      </x:c>
      <x:c r="L90" s="11" t="str">
        <x:v>CENTRAL_USB5V / 3V3</x:v>
      </x:c>
      <x:c r="M90" s="11" t="str">
        <x:v>https://www.ti.com/lit/ds/symlink/ina226.pdf</x:v>
      </x:c>
      <x:c r="N90" s="11" t="str">
        <x:v>授权渠道待选；不默认替代</x:v>
      </x:c>
      <x:c r="O90" s="11" t="str">
        <x:v>SEE_SOURCE_REGISTER</x:v>
      </x:c>
      <x:c r="P90" s="11" t="str">
        <x:v>2026-10-11</x:v>
      </x:c>
      <x:c r="Q90" s="11" t="str">
        <x:v>CANDIDATE</x:v>
      </x:c>
      <x:c r="R90" s="11" t="str">
        <x:v>User hardware design direction, electrical release pending</x:v>
      </x:c>
      <x:c r="S90" s="11" t="str">
        <x:v>Pin/native library/electrical review required</x:v>
      </x:c>
      <x:c r="T90" s="11" t="str">
        <x:v>UNKNOWN</x:v>
      </x:c>
      <x:c r="U90" s="11" t="str">
        <x:v>背面电子件 / 正面TX RX</x:v>
      </x:c>
      <x:c r="V90" s="11" t="str">
        <x:v>HOLD</x:v>
      </x:c>
    </x:row>
    <x:row r="91" ht="64" customHeight="1">
      <x:c r="A91" s="11" t="str">
        <x:v>H-007</x:v>
      </x:c>
      <x:c r="B91" s="11" t="str">
        <x:v>被拒绝的标准看门狗备选DNP</x:v>
      </x:c>
      <x:c r="C91" s="11" t="str">
        <x:v>TPS3431SDRBR</x:v>
      </x:c>
      <x:c r="D91" s="11" t="str">
        <x:v>Texas Instruments</x:v>
      </x:c>
      <x:c r="E91" s="13" t="n">
        <x:v>0</x:v>
      </x:c>
      <x:c r="F91" s="14" t="n">
        <x:v>0.1</x:v>
      </x:c>
      <x:c r="G91" s="13" t="n">
        <x:f>ROUNDUP(E91*(1+F91),0)</x:f>
        <x:v>0</x:v>
      </x:c>
      <x:c r="H91" s="11" t="str"/>
      <x:c r="I91" s="11" t="str">
        <x:v>VSON8_DRB_EP; Pin1/EP原生库待核</x:v>
      </x:c>
      <x:c r="J91" s="11" t="str">
        <x:v>SEE_POWER_DOMAIN_CONTRACT</x:v>
      </x:c>
      <x:c r="K91" s="11" t="str">
        <x:v>UNKNOWN</x:v>
      </x:c>
      <x:c r="L91" s="11" t="str">
        <x:v>CENTRAL_USB5V / 3V3</x:v>
      </x:c>
      <x:c r="M91" s="11" t="str">
        <x:v>https://www.ti.com/lit/ds/symlink/tps3431.pdf</x:v>
      </x:c>
      <x:c r="N91" s="11" t="str">
        <x:v>授权渠道待选；不默认替代</x:v>
      </x:c>
      <x:c r="O91" s="11" t="str">
        <x:v>SEE_SOURCE_REGISTER</x:v>
      </x:c>
      <x:c r="P91" s="11" t="str">
        <x:v>2026-10-11</x:v>
      </x:c>
      <x:c r="Q91" s="11" t="str">
        <x:v>CANDIDATE</x:v>
      </x:c>
      <x:c r="R91" s="11" t="str">
        <x:v>User hardware design direction, electrical release pending</x:v>
      </x:c>
      <x:c r="S91" s="11" t="str">
        <x:v>STANDARD watchdog; not a window watchdog. Retain window requirement and B009 pending qualification</x:v>
      </x:c>
      <x:c r="T91" s="11" t="str">
        <x:v>UNKNOWN</x:v>
      </x:c>
      <x:c r="U91" s="11" t="str">
        <x:v>背面电子件 / 正面TX RX</x:v>
      </x:c>
      <x:c r="V91" s="11" t="str">
        <x:v>HOLD</x:v>
      </x:c>
    </x:row>
    <x:row r="92" ht="64" customHeight="1">
      <x:c r="A92" s="11" t="str">
        <x:v>H-008</x:v>
      </x:c>
      <x:c r="B92" s="11" t="str">
        <x:v>B027/B028已计两颗Buck，无重复装配</x:v>
      </x:c>
      <x:c r="C92" s="11" t="str">
        <x:v>TPS54202DDCR</x:v>
      </x:c>
      <x:c r="D92" s="11" t="str">
        <x:v>Texas Instruments</x:v>
      </x:c>
      <x:c r="E92" s="13" t="n">
        <x:v>0</x:v>
      </x:c>
      <x:c r="F92" s="14" t="n">
        <x:v>0.1</x:v>
      </x:c>
      <x:c r="G92" s="13" t="n">
        <x:f>ROUNDUP(E92*(1+F92),0)</x:f>
        <x:v>0</x:v>
      </x:c>
      <x:c r="H92" s="11" t="str"/>
      <x:c r="I92" s="11" t="str">
        <x:v>SOT23_6_DDC; Pin1/EP原生库待核</x:v>
      </x:c>
      <x:c r="J92" s="11" t="str">
        <x:v>SEE_POWER_DOMAIN_CONTRACT</x:v>
      </x:c>
      <x:c r="K92" s="11" t="str">
        <x:v>UNKNOWN</x:v>
      </x:c>
      <x:c r="L92" s="11" t="str">
        <x:v>CENTRAL_USB5V / 3V3</x:v>
      </x:c>
      <x:c r="M92" s="11" t="str">
        <x:v>https://www.ti.com/lit/ds/symlink/tps54202.pdf</x:v>
      </x:c>
      <x:c r="N92" s="11" t="str">
        <x:v>授权渠道待选；不默认替代</x:v>
      </x:c>
      <x:c r="O92" s="11" t="str">
        <x:v>SEE_SOURCE_REGISTER</x:v>
      </x:c>
      <x:c r="P92" s="11" t="str">
        <x:v>2026-10-11</x:v>
      </x:c>
      <x:c r="Q92" s="11" t="str">
        <x:v>CANDIDATE</x:v>
      </x:c>
      <x:c r="R92" s="11" t="str">
        <x:v>User hardware design direction, electrical release pending</x:v>
      </x:c>
      <x:c r="S92" s="11" t="str">
        <x:v>B027/B028 independent buck rails; not central5V LDO</x:v>
      </x:c>
      <x:c r="T92" s="11" t="str">
        <x:v>UNKNOWN</x:v>
      </x:c>
      <x:c r="U92" s="11" t="str">
        <x:v>背面电子件 / 正面TX RX</x:v>
      </x:c>
      <x:c r="V92" s="11" t="str">
        <x:v>HOLD</x:v>
      </x:c>
    </x:row>
    <x:row r="93" ht="64" customHeight="1">
      <x:c r="A93" s="11" t="str">
        <x:v>H-009</x:v>
      </x:c>
      <x:c r="B93" s="11" t="str">
        <x:v>默认OFF TX电源切断及反灌阻断</x:v>
      </x:c>
      <x:c r="C93" s="11" t="str">
        <x:v>BACK_TO_BACK_FET_AND_DRIVER_TBD</x:v>
      </x:c>
      <x:c r="D93" s="11" t="str">
        <x:v>UNKNOWN_VERIFY</x:v>
      </x:c>
      <x:c r="E93" s="13" t="n">
        <x:v>0</x:v>
      </x:c>
      <x:c r="F93" s="14" t="n">
        <x:v>0.1</x:v>
      </x:c>
      <x:c r="G93" s="13" t="n">
        <x:f>ROUNDUP(E93*(1+F93),0)</x:f>
        <x:v>0</x:v>
      </x:c>
      <x:c r="H93" s="11" t="str"/>
      <x:c r="I93" s="11" t="str">
        <x:v>PIN_REVIEW_TBD; Pin1/EP原生库待核</x:v>
      </x:c>
      <x:c r="J93" s="11" t="str">
        <x:v>SEE_POWER_DOMAIN_CONTRACT</x:v>
      </x:c>
      <x:c r="K93" s="11" t="str">
        <x:v>UNKNOWN</x:v>
      </x:c>
      <x:c r="L93" s="11" t="str">
        <x:v>CENTRAL_USB5V / 3V3</x:v>
      </x:c>
      <x:c r="M93" s="11" t="str">
        <x:v>CANDIDATE_ENGINEERING_REQUIREMENT</x:v>
      </x:c>
      <x:c r="N93" s="11" t="str">
        <x:v>授权渠道待选；不默认替代</x:v>
      </x:c>
      <x:c r="O93" s="11" t="str">
        <x:v>SEE_SOURCE_REGISTER</x:v>
      </x:c>
      <x:c r="P93" s="11" t="str">
        <x:v>2026-10-11</x:v>
      </x:c>
      <x:c r="Q93" s="11" t="str">
        <x:v>CANDIDATE</x:v>
      </x:c>
      <x:c r="R93" s="11" t="str">
        <x:v>User hardware design direction, electrical release pending</x:v>
      </x:c>
      <x:c r="S93" s="11" t="str">
        <x:v>Independent of PL; gate pulldown and power-off paths required</x:v>
      </x:c>
      <x:c r="T93" s="11" t="str">
        <x:v>UNKNOWN</x:v>
      </x:c>
      <x:c r="U93" s="11" t="str">
        <x:v>背面电子件 / 正面TX RX</x:v>
      </x:c>
      <x:c r="V93" s="11" t="str">
        <x:v>HOLD</x:v>
      </x:c>
    </x:row>
    <x:row r="94" ht="64" customHeight="1">
      <x:c r="A94" s="11" t="str">
        <x:v>H-010</x:v>
      </x:c>
      <x:c r="B94" s="11" t="str">
        <x:v>阵列协调保护组</x:v>
      </x:c>
      <x:c r="C94" s="11" t="str">
        <x:v>TVS_FUSE_SET_TBD</x:v>
      </x:c>
      <x:c r="D94" s="11" t="str">
        <x:v>UNKNOWN_VERIFY</x:v>
      </x:c>
      <x:c r="E94" s="13" t="n">
        <x:v>0</x:v>
      </x:c>
      <x:c r="F94" s="14" t="n">
        <x:v>0.1</x:v>
      </x:c>
      <x:c r="G94" s="13" t="n">
        <x:f>ROUNDUP(E94*(1+F94),0)</x:f>
        <x:v>0</x:v>
      </x:c>
      <x:c r="H94" s="11" t="str"/>
      <x:c r="I94" s="11" t="str">
        <x:v>VALUES_TBD; Pin1/EP原生库待核</x:v>
      </x:c>
      <x:c r="J94" s="11" t="str">
        <x:v>SEE_POWER_DOMAIN_CONTRACT</x:v>
      </x:c>
      <x:c r="K94" s="11" t="str">
        <x:v>UNKNOWN</x:v>
      </x:c>
      <x:c r="L94" s="11" t="str">
        <x:v>CENTRAL_USB5V / 3V3</x:v>
      </x:c>
      <x:c r="M94" s="11" t="str">
        <x:v>CANDIDATE_ENGINEERING_REQUIREMENT</x:v>
      </x:c>
      <x:c r="N94" s="11" t="str">
        <x:v>授权渠道待选；不默认替代</x:v>
      </x:c>
      <x:c r="O94" s="11" t="str">
        <x:v>SEE_SOURCE_REGISTER</x:v>
      </x:c>
      <x:c r="P94" s="11" t="str">
        <x:v>2026-10-11</x:v>
      </x:c>
      <x:c r="Q94" s="11" t="str">
        <x:v>CANDIDATE</x:v>
      </x:c>
      <x:c r="R94" s="11" t="str">
        <x:v>User hardware design direction, electrical release pending</x:v>
      </x:c>
      <x:c r="S94" s="11" t="str">
        <x:v>No SMBJ20A assumption; eFuse67V and driver18V transient envelope separate</x:v>
      </x:c>
      <x:c r="T94" s="11" t="str">
        <x:v>UNKNOWN</x:v>
      </x:c>
      <x:c r="U94" s="11" t="str">
        <x:v>背面电子件 / 正面TX RX</x:v>
      </x:c>
      <x:c r="V94" s="11" t="str">
        <x:v>HOLD</x:v>
      </x:c>
    </x:row>
    <x:row r="95" ht="64" customHeight="1">
      <x:c r="A95" s="11" t="str">
        <x:v>H-011</x:v>
      </x:c>
      <x:c r="B95" s="11" t="str">
        <x:v>硬件过温及人工重启锁存</x:v>
      </x:c>
      <x:c r="C95" s="11" t="str">
        <x:v>HOTSPOT_COMPARATOR_LATCH_REARM_TBD</x:v>
      </x:c>
      <x:c r="D95" s="11" t="str">
        <x:v>UNKNOWN_VERIFY</x:v>
      </x:c>
      <x:c r="E95" s="13" t="n">
        <x:v>0</x:v>
      </x:c>
      <x:c r="F95" s="14" t="n">
        <x:v>0.1</x:v>
      </x:c>
      <x:c r="G95" s="13" t="n">
        <x:f>ROUNDUP(E95*(1+F95),0)</x:f>
        <x:v>0</x:v>
      </x:c>
      <x:c r="H95" s="11" t="str"/>
      <x:c r="I95" s="11" t="str">
        <x:v>PIN_REVIEW_TBD; Pin1/EP原生库待核</x:v>
      </x:c>
      <x:c r="J95" s="11" t="str">
        <x:v>SEE_POWER_DOMAIN_CONTRACT</x:v>
      </x:c>
      <x:c r="K95" s="11" t="str">
        <x:v>UNKNOWN</x:v>
      </x:c>
      <x:c r="L95" s="11" t="str">
        <x:v>CENTRAL_USB5V / 3V3</x:v>
      </x:c>
      <x:c r="M95" s="11" t="str">
        <x:v>CANDIDATE_ENGINEERING_REQUIREMENT</x:v>
      </x:c>
      <x:c r="N95" s="11" t="str">
        <x:v>授权渠道待选；不默认替代</x:v>
      </x:c>
      <x:c r="O95" s="11" t="str">
        <x:v>SEE_SOURCE_REGISTER</x:v>
      </x:c>
      <x:c r="P95" s="11" t="str">
        <x:v>2026-10-11</x:v>
      </x:c>
      <x:c r="Q95" s="11" t="str">
        <x:v>CANDIDATE</x:v>
      </x:c>
      <x:c r="R95" s="11" t="str">
        <x:v>User hardware design direction, electrical release pending</x:v>
      </x:c>
      <x:c r="S95" s="11" t="str">
        <x:v>TMP117/I2C is not independent hard cutoff</x:v>
      </x:c>
      <x:c r="T95" s="11" t="str">
        <x:v>UNKNOWN</x:v>
      </x:c>
      <x:c r="U95" s="11" t="str">
        <x:v>背面电子件 / 正面TX RX</x:v>
      </x:c>
      <x:c r="V95" s="11" t="str">
        <x:v>HOLD</x:v>
      </x:c>
    </x:row>
    <x:row r="96" ht="64" customHeight="1">
      <x:c r="A96" s="11" t="str">
        <x:v>H-012</x:v>
      </x:c>
      <x:c r="B96" s="11" t="str">
        <x:v>中央5V保护及ADC供电调节</x:v>
      </x:c>
      <x:c r="C96" s="11" t="str">
        <x:v>CENTRAL_USB_EFUSE_BUCKBOOST_TBD</x:v>
      </x:c>
      <x:c r="D96" s="11" t="str">
        <x:v>UNKNOWN_VERIFY</x:v>
      </x:c>
      <x:c r="E96" s="13" t="n">
        <x:v>1</x:v>
      </x:c>
      <x:c r="F96" s="14" t="n">
        <x:v>0.1</x:v>
      </x:c>
      <x:c r="G96" s="13" t="n">
        <x:f>ROUNDUP(E96*(1+F96),0)</x:f>
        <x:v>2</x:v>
      </x:c>
      <x:c r="H96" s="11" t="str">
        <x:v>CE_H012_001</x:v>
      </x:c>
      <x:c r="I96" s="11" t="str">
        <x:v>PIN_REVIEW_TBD; Pin1/EP原生库待核</x:v>
      </x:c>
      <x:c r="J96" s="11" t="str">
        <x:v>SEE_POWER_DOMAIN_CONTRACT</x:v>
      </x:c>
      <x:c r="K96" s="11" t="str">
        <x:v>UNKNOWN</x:v>
      </x:c>
      <x:c r="L96" s="11" t="str">
        <x:v>CENTRAL_USB5V / 3V3</x:v>
      </x:c>
      <x:c r="M96" s="11" t="str">
        <x:v>CANDIDATE_ENGINEERING_REQUIREMENT</x:v>
      </x:c>
      <x:c r="N96" s="11" t="str">
        <x:v>授权渠道待选；不默认替代</x:v>
      </x:c>
      <x:c r="O96" s="11" t="str">
        <x:v>SEE_SOURCE_REGISTER</x:v>
      </x:c>
      <x:c r="P96" s="11" t="str">
        <x:v>2026-10-11</x:v>
      </x:c>
      <x:c r="Q96" s="11" t="str">
        <x:v>CANDIDATE</x:v>
      </x:c>
      <x:c r="R96" s="11" t="str">
        <x:v>User hardware design direction, electrical release pending</x:v>
      </x:c>
      <x:c r="S96" s="11" t="str">
        <x:v>VBUSmin minus cable and switch may violate4.75V ADC AVCC</x:v>
      </x:c>
      <x:c r="T96" s="11" t="str">
        <x:v>UNKNOWN</x:v>
      </x:c>
      <x:c r="U96" s="11" t="str">
        <x:v>背面电子件 / 正面TX RX</x:v>
      </x:c>
      <x:c r="V96" s="11" t="str">
        <x:v>HOLD</x:v>
      </x:c>
    </x:row>
    <x:row r="97" ht="64" customHeight="1">
      <x:c r="A97" s="11" t="str">
        <x:v>H-013</x:v>
      </x:c>
      <x:c r="B97" s="11" t="str">
        <x:v>双侧断电高阻信号缓冲</x:v>
      </x:c>
      <x:c r="C97" s="11" t="str">
        <x:v>IOFF_BUFFER_SET_TBD</x:v>
      </x:c>
      <x:c r="D97" s="11" t="str">
        <x:v>UNKNOWN_VERIFY</x:v>
      </x:c>
      <x:c r="E97" s="13" t="n">
        <x:v>1</x:v>
      </x:c>
      <x:c r="F97" s="14" t="n">
        <x:v>0.1</x:v>
      </x:c>
      <x:c r="G97" s="13" t="n">
        <x:f>ROUNDUP(E97*(1+F97),0)</x:f>
        <x:v>2</x:v>
      </x:c>
      <x:c r="H97" s="11" t="str">
        <x:v>CE_H013_001</x:v>
      </x:c>
      <x:c r="I97" s="11" t="str">
        <x:v>PIN_REVIEW_TBD; Pin1/EP原生库待核</x:v>
      </x:c>
      <x:c r="J97" s="11" t="str">
        <x:v>SEE_POWER_DOMAIN_CONTRACT</x:v>
      </x:c>
      <x:c r="K97" s="11" t="str">
        <x:v>UNKNOWN</x:v>
      </x:c>
      <x:c r="L97" s="11" t="str">
        <x:v>CENTRAL_USB5V / 3V3</x:v>
      </x:c>
      <x:c r="M97" s="11" t="str">
        <x:v>CANDIDATE_ENGINEERING_REQUIREMENT</x:v>
      </x:c>
      <x:c r="N97" s="11" t="str">
        <x:v>授权渠道待选；不默认替代</x:v>
      </x:c>
      <x:c r="O97" s="11" t="str">
        <x:v>SEE_SOURCE_REGISTER</x:v>
      </x:c>
      <x:c r="P97" s="11" t="str">
        <x:v>2026-10-11</x:v>
      </x:c>
      <x:c r="Q97" s="11" t="str">
        <x:v>CANDIDATE</x:v>
      </x:c>
      <x:c r="R97" s="11" t="str">
        <x:v>User hardware design direction, electrical release pending</x:v>
      </x:c>
      <x:c r="S97" s="11" t="str">
        <x:v>Every crossing needs Ioff, OE default-off and ground-return review</x:v>
      </x:c>
      <x:c r="T97" s="11" t="str">
        <x:v>UNKNOWN</x:v>
      </x:c>
      <x:c r="U97" s="11" t="str">
        <x:v>背面电子件 / 正面TX RX</x:v>
      </x:c>
      <x:c r="V97" s="11" t="str">
        <x:v>HOLD</x:v>
      </x:c>
    </x:row>
    <x:row r="98" ht="64" customHeight="1">
      <x:c r="A98" s="11" t="str">
        <x:v>H-014</x:v>
      </x:c>
      <x:c r="B98" s="11" t="str">
        <x:v>外部急停及人工重启，板座见NS001</x:v>
      </x:c>
      <x:c r="C98" s="11" t="str">
        <x:v>NC_ESTOP_MANUAL_REARM_TBD</x:v>
      </x:c>
      <x:c r="D98" s="11" t="str">
        <x:v>UNKNOWN_VERIFY</x:v>
      </x:c>
      <x:c r="E98" s="13" t="n">
        <x:v>0</x:v>
      </x:c>
      <x:c r="F98" s="14" t="n">
        <x:v>0.1</x:v>
      </x:c>
      <x:c r="G98" s="13" t="n">
        <x:f>ROUNDUP(E98*(1+F98),0)</x:f>
        <x:v>0</x:v>
      </x:c>
      <x:c r="H98" s="11" t="str"/>
      <x:c r="I98" s="11" t="str">
        <x:v>KEYED_TBD; Pin1/EP原生库待核</x:v>
      </x:c>
      <x:c r="J98" s="11" t="str">
        <x:v>SEE_POWER_DOMAIN_CONTRACT</x:v>
      </x:c>
      <x:c r="K98" s="11" t="str">
        <x:v>UNKNOWN</x:v>
      </x:c>
      <x:c r="L98" s="11" t="str">
        <x:v>CENTRAL_USB5V / 3V3</x:v>
      </x:c>
      <x:c r="M98" s="11" t="str">
        <x:v>CANDIDATE_ENGINEERING_REQUIREMENT</x:v>
      </x:c>
      <x:c r="N98" s="11" t="str">
        <x:v>授权渠道待选；不默认替代</x:v>
      </x:c>
      <x:c r="O98" s="11" t="str">
        <x:v>SEE_SOURCE_REGISTER</x:v>
      </x:c>
      <x:c r="P98" s="11" t="str">
        <x:v>2026-10-11</x:v>
      </x:c>
      <x:c r="Q98" s="11" t="str">
        <x:v>CANDIDATE</x:v>
      </x:c>
      <x:c r="R98" s="11" t="str">
        <x:v>User hardware design direction, electrical release pending</x:v>
      </x:c>
      <x:c r="S98" s="11" t="str">
        <x:v>Break any wire forces local power-off; fault removal alone cannot restart</x:v>
      </x:c>
      <x:c r="T98" s="11" t="str">
        <x:v>UNKNOWN</x:v>
      </x:c>
      <x:c r="U98" s="11" t="str">
        <x:v>背面电子件 / 正面TX RX</x:v>
      </x:c>
      <x:c r="V98" s="11" t="str">
        <x:v>HOLD</x:v>
      </x:c>
    </x:row>
    <x:row r="99" ht="64" customHeight="1">
      <x:c r="A99" s="11" t="str">
        <x:v>H-015</x:v>
      </x:c>
      <x:c r="B99" s="11" t="str">
        <x:v>八路接收屏蔽线束</x:v>
      </x:c>
      <x:c r="C99" s="11" t="str">
        <x:v>SHIELDED_RX_HARNESS_TBD</x:v>
      </x:c>
      <x:c r="D99" s="11" t="str">
        <x:v>UNKNOWN_VERIFY</x:v>
      </x:c>
      <x:c r="E99" s="13" t="n">
        <x:v>0</x:v>
      </x:c>
      <x:c r="F99" s="14" t="n">
        <x:v>0.1</x:v>
      </x:c>
      <x:c r="G99" s="13" t="n">
        <x:f>ROUNDUP(E99*(1+F99),0)</x:f>
        <x:v>0</x:v>
      </x:c>
      <x:c r="H99" s="11" t="str"/>
      <x:c r="I99" s="11" t="str">
        <x:v>KEYED_TBD; Pin1/EP原生库待核</x:v>
      </x:c>
      <x:c r="J99" s="11" t="str">
        <x:v>SEE_POWER_DOMAIN_CONTRACT</x:v>
      </x:c>
      <x:c r="K99" s="11" t="str">
        <x:v>UNKNOWN</x:v>
      </x:c>
      <x:c r="L99" s="11" t="str">
        <x:v>CENTRAL_USB5V / 3V3</x:v>
      </x:c>
      <x:c r="M99" s="11" t="str">
        <x:v>CANDIDATE_ENGINEERING_REQUIREMENT</x:v>
      </x:c>
      <x:c r="N99" s="11" t="str">
        <x:v>授权渠道待选；不默认替代</x:v>
      </x:c>
      <x:c r="O99" s="11" t="str">
        <x:v>SEE_SOURCE_REGISTER</x:v>
      </x:c>
      <x:c r="P99" s="11" t="str">
        <x:v>2026-10-11</x:v>
      </x:c>
      <x:c r="Q99" s="11" t="str">
        <x:v>CANDIDATE</x:v>
      </x:c>
      <x:c r="R99" s="11" t="str">
        <x:v>User hardware design direction, electrical release pending</x:v>
      </x:c>
      <x:c r="S99" s="11" t="str">
        <x:v>Local AFE outputs; no direct unprotected transducer toADC</x:v>
      </x:c>
      <x:c r="T99" s="11" t="str">
        <x:v>UNKNOWN</x:v>
      </x:c>
      <x:c r="U99" s="11" t="str">
        <x:v>背面电子件 / 正面TX RX</x:v>
      </x:c>
      <x:c r="V99" s="11" t="str">
        <x:v>HOLD</x:v>
      </x:c>
    </x:row>
    <x:row r="100" ht="64" customHeight="1">
      <x:c r="A100" s="11" t="str">
        <x:v>H-016</x:v>
      </x:c>
      <x:c r="B100" s="11" t="str">
        <x:v>两阵列数据/时钟/状态线束</x:v>
      </x:c>
      <x:c r="C100" s="11" t="str">
        <x:v>KEYED_SIGNAL_HARNESS_TBD</x:v>
      </x:c>
      <x:c r="D100" s="11" t="str">
        <x:v>UNKNOWN_VERIFY</x:v>
      </x:c>
      <x:c r="E100" s="13" t="n">
        <x:v>0</x:v>
      </x:c>
      <x:c r="F100" s="14" t="n">
        <x:v>0.1</x:v>
      </x:c>
      <x:c r="G100" s="13" t="n">
        <x:f>ROUNDUP(E100*(1+F100),0)</x:f>
        <x:v>0</x:v>
      </x:c>
      <x:c r="H100" s="11" t="str"/>
      <x:c r="I100" s="11" t="str">
        <x:v>RETURN_GROUND_TBD; Pin1/EP原生库待核</x:v>
      </x:c>
      <x:c r="J100" s="11" t="str">
        <x:v>SEE_POWER_DOMAIN_CONTRACT</x:v>
      </x:c>
      <x:c r="K100" s="11" t="str">
        <x:v>UNKNOWN</x:v>
      </x:c>
      <x:c r="L100" s="11" t="str">
        <x:v>CENTRAL_USB5V / 3V3</x:v>
      </x:c>
      <x:c r="M100" s="11" t="str">
        <x:v>CANDIDATE_ENGINEERING_REQUIREMENT</x:v>
      </x:c>
      <x:c r="N100" s="11" t="str">
        <x:v>授权渠道待选；不默认替代</x:v>
      </x:c>
      <x:c r="O100" s="11" t="str">
        <x:v>SEE_SOURCE_REGISTER</x:v>
      </x:c>
      <x:c r="P100" s="11" t="str">
        <x:v>2026-10-11</x:v>
      </x:c>
      <x:c r="Q100" s="11" t="str">
        <x:v>CANDIDATE</x:v>
      </x:c>
      <x:c r="R100" s="11" t="str">
        <x:v>User hardware design direction, electrical release pending</x:v>
      </x:c>
      <x:c r="S100" s="11" t="str">
        <x:v>66MHz is unqualified; no ribbon guarantee</x:v>
      </x:c>
      <x:c r="T100" s="11" t="str">
        <x:v>UNKNOWN</x:v>
      </x:c>
      <x:c r="U100" s="11" t="str">
        <x:v>背面电子件 / 正面TX RX</x:v>
      </x:c>
      <x:c r="V100" s="11" t="str">
        <x:v>HOLD</x:v>
      </x:c>
    </x:row>
    <x:row r="101" ht="64" customHeight="1">
      <x:c r="A101" s="11" t="str">
        <x:v>H-017</x:v>
      </x:c>
      <x:c r="B101" s="11" t="str">
        <x:v>12V60W电源候选</x:v>
      </x:c>
      <x:c r="C101" s="11" t="str">
        <x:v>GST60A12-P1M</x:v>
      </x:c>
      <x:c r="D101" s="11" t="str">
        <x:v>UNKNOWN_VERIFY</x:v>
      </x:c>
      <x:c r="E101" s="13" t="n">
        <x:v>0</x:v>
      </x:c>
      <x:c r="F101" s="14" t="n">
        <x:v>0.1</x:v>
      </x:c>
      <x:c r="G101" s="13" t="n">
        <x:f>ROUNDUP(E101*(1+F101),0)</x:f>
        <x:v>0</x:v>
      </x:c>
      <x:c r="H101" s="11" t="str"/>
      <x:c r="I101" s="11" t="str">
        <x:v>EXTERNAL_5P5x2P5; Pin1/EP原生库待核</x:v>
      </x:c>
      <x:c r="J101" s="11" t="str">
        <x:v>SEE_POWER_DOMAIN_CONTRACT</x:v>
      </x:c>
      <x:c r="K101" s="11" t="str">
        <x:v>UNKNOWN</x:v>
      </x:c>
      <x:c r="L101" s="11" t="str">
        <x:v>CENTRAL_USB5V / 3V3</x:v>
      </x:c>
      <x:c r="M101" s="11" t="str">
        <x:v>CANDIDATE_ENGINEERING_REQUIREMENT</x:v>
      </x:c>
      <x:c r="N101" s="11" t="str">
        <x:v>授权渠道待选；不默认替代</x:v>
      </x:c>
      <x:c r="O101" s="11" t="str">
        <x:v>SEE_SOURCE_REGISTER</x:v>
      </x:c>
      <x:c r="P101" s="11" t="str">
        <x:v>2026-10-11</x:v>
      </x:c>
      <x:c r="Q101" s="11" t="str">
        <x:v>CANDIDATE</x:v>
      </x:c>
      <x:c r="R101" s="11" t="str">
        <x:v>User hardware design direction, electrical release pending</x:v>
      </x:c>
      <x:c r="S101" s="11" t="str">
        <x:v>Manufacturer P1M plug+5A thermal/load proof and user procurement required</x:v>
      </x:c>
      <x:c r="T101" s="11" t="str">
        <x:v>UNKNOWN</x:v>
      </x:c>
      <x:c r="U101" s="11" t="str">
        <x:v>背面电子件 / 正面TX RX</x:v>
      </x:c>
      <x:c r="V101" s="11" t="str">
        <x:v>HOLD</x:v>
      </x:c>
    </x:row>
    <x:row r="102" ht="64" customHeight="1">
      <x:c r="A102" s="11" t="str">
        <x:v>H-018</x:v>
      </x:c>
      <x:c r="B102" s="11" t="str">
        <x:v>12V40W备选不重复装配</x:v>
      </x:c>
      <x:c r="C102" s="11" t="str">
        <x:v>GST40A12-P1M</x:v>
      </x:c>
      <x:c r="D102" s="11" t="str">
        <x:v>UNKNOWN_VERIFY</x:v>
      </x:c>
      <x:c r="E102" s="13" t="n">
        <x:v>0</x:v>
      </x:c>
      <x:c r="F102" s="14" t="n">
        <x:v>0.1</x:v>
      </x:c>
      <x:c r="G102" s="13" t="n">
        <x:f>ROUNDUP(E102*(1+F102),0)</x:f>
        <x:v>0</x:v>
      </x:c>
      <x:c r="H102" s="11" t="str"/>
      <x:c r="I102" s="11" t="str">
        <x:v>EXTERNAL_5P5x2P5; Pin1/EP原生库待核</x:v>
      </x:c>
      <x:c r="J102" s="11" t="str">
        <x:v>SEE_POWER_DOMAIN_CONTRACT</x:v>
      </x:c>
      <x:c r="K102" s="11" t="str">
        <x:v>UNKNOWN</x:v>
      </x:c>
      <x:c r="L102" s="11" t="str">
        <x:v>CENTRAL_USB5V / 3V3</x:v>
      </x:c>
      <x:c r="M102" s="11" t="str">
        <x:v>CANDIDATE_ENGINEERING_REQUIREMENT</x:v>
      </x:c>
      <x:c r="N102" s="11" t="str">
        <x:v>授权渠道待选；不默认替代</x:v>
      </x:c>
      <x:c r="O102" s="11" t="str">
        <x:v>SEE_SOURCE_REGISTER</x:v>
      </x:c>
      <x:c r="P102" s="11" t="str">
        <x:v>2026-10-11</x:v>
      </x:c>
      <x:c r="Q102" s="11" t="str">
        <x:v>CANDIDATE</x:v>
      </x:c>
      <x:c r="R102" s="11" t="str">
        <x:v>User hardware design direction, electrical release pending</x:v>
      </x:c>
      <x:c r="S102" s="11" t="str">
        <x:v>Alternative only, &lt;=30.77W/board at30% headroom before derating</x:v>
      </x:c>
      <x:c r="T102" s="11" t="str">
        <x:v>UNKNOWN</x:v>
      </x:c>
      <x:c r="U102" s="11" t="str">
        <x:v>背面电子件 / 正面TX RX</x:v>
      </x:c>
      <x:c r="V102" s="11" t="str">
        <x:v>HOLD</x:v>
      </x:c>
    </x:row>
    <x:row r="103" ht="64" customHeight="1">
      <x:c r="A103" s="11" t="str">
        <x:v>H-019</x:v>
      </x:c>
      <x:c r="B103" s="11" t="str">
        <x:v>中央独立USB-C电源</x:v>
      </x:c>
      <x:c r="C103" s="11" t="str">
        <x:v>USB_C_5V_3A_SOURCE_TBD</x:v>
      </x:c>
      <x:c r="D103" s="11" t="str">
        <x:v>UNKNOWN_VERIFY</x:v>
      </x:c>
      <x:c r="E103" s="13" t="n">
        <x:v>0</x:v>
      </x:c>
      <x:c r="F103" s="14" t="n">
        <x:v>0.1</x:v>
      </x:c>
      <x:c r="G103" s="13" t="n">
        <x:f>ROUNDUP(E103*(1+F103),0)</x:f>
        <x:v>0</x:v>
      </x:c>
      <x:c r="H103" s="11" t="str"/>
      <x:c r="I103" s="11" t="str">
        <x:v>EXTERNAL; Pin1/EP原生库待核</x:v>
      </x:c>
      <x:c r="J103" s="11" t="str">
        <x:v>SEE_POWER_DOMAIN_CONTRACT</x:v>
      </x:c>
      <x:c r="K103" s="11" t="str">
        <x:v>UNKNOWN</x:v>
      </x:c>
      <x:c r="L103" s="11" t="str">
        <x:v>CENTRAL_USB5V / 3V3</x:v>
      </x:c>
      <x:c r="M103" s="11" t="str">
        <x:v>CANDIDATE_ENGINEERING_REQUIREMENT</x:v>
      </x:c>
      <x:c r="N103" s="11" t="str">
        <x:v>授权渠道待选；不默认替代</x:v>
      </x:c>
      <x:c r="O103" s="11" t="str">
        <x:v>SEE_SOURCE_REGISTER</x:v>
      </x:c>
      <x:c r="P103" s="11" t="str">
        <x:v>2026-10-11</x:v>
      </x:c>
      <x:c r="Q103" s="11" t="str">
        <x:v>CANDIDATE</x:v>
      </x:c>
      <x:c r="R103" s="11" t="str">
        <x:v>User hardware design direction, electrical release pending</x:v>
      </x:c>
      <x:c r="S103" s="11" t="str">
        <x:v>CC3A availability; no implicit draw3A</x:v>
      </x:c>
      <x:c r="T103" s="11" t="str">
        <x:v>UNKNOWN</x:v>
      </x:c>
      <x:c r="U103" s="11" t="str">
        <x:v>背面电子件 / 正面TX RX</x:v>
      </x:c>
      <x:c r="V103" s="11" t="str">
        <x:v>HOLD</x:v>
      </x:c>
    </x:row>
    <x:row r="104" ht="64" customHeight="1">
      <x:c r="A104" s="11" t="str">
        <x:v>H-020</x:v>
      </x:c>
      <x:c r="B104" s="11" t="str">
        <x:v>每路驱动输入默认低</x:v>
      </x:c>
      <x:c r="C104" s="11" t="str">
        <x:v>DRIVER_INPUT_PULLDOWN_TBD</x:v>
      </x:c>
      <x:c r="D104" s="11" t="str">
        <x:v>UNKNOWN_VERIFY</x:v>
      </x:c>
      <x:c r="E104" s="13" t="n">
        <x:v>0</x:v>
      </x:c>
      <x:c r="F104" s="14" t="n">
        <x:v>0.1</x:v>
      </x:c>
      <x:c r="G104" s="13" t="n">
        <x:f>ROUNDUP(E104*(1+F104),0)</x:f>
        <x:v>0</x:v>
      </x:c>
      <x:c r="H104" s="11" t="str"/>
      <x:c r="I104" s="11" t="str">
        <x:v>R_VALUE_TBD; Pin1/EP原生库待核</x:v>
      </x:c>
      <x:c r="J104" s="11" t="str">
        <x:v>SEE_POWER_DOMAIN_CONTRACT</x:v>
      </x:c>
      <x:c r="K104" s="11" t="str">
        <x:v>UNKNOWN</x:v>
      </x:c>
      <x:c r="L104" s="11" t="str">
        <x:v>CENTRAL_USB5V / 3V3</x:v>
      </x:c>
      <x:c r="M104" s="11" t="str">
        <x:v>CANDIDATE_ENGINEERING_REQUIREMENT</x:v>
      </x:c>
      <x:c r="N104" s="11" t="str">
        <x:v>授权渠道待选；不默认替代</x:v>
      </x:c>
      <x:c r="O104" s="11" t="str">
        <x:v>SEE_SOURCE_REGISTER</x:v>
      </x:c>
      <x:c r="P104" s="11" t="str">
        <x:v>2026-10-11</x:v>
      </x:c>
      <x:c r="Q104" s="11" t="str">
        <x:v>CANDIDATE</x:v>
      </x:c>
      <x:c r="R104" s="11" t="str">
        <x:v>User hardware design direction, electrical release pending</x:v>
      </x:c>
      <x:c r="S104" s="11" t="str">
        <x:v>595OE high makes Q high-Z; pulldown must defeat leakage without load excess</x:v>
      </x:c>
      <x:c r="T104" s="11" t="str">
        <x:v>UNKNOWN</x:v>
      </x:c>
      <x:c r="U104" s="11" t="str">
        <x:v>背面电子件 / 正面TX RX</x:v>
      </x:c>
      <x:c r="V104" s="11" t="str">
        <x:v>HOLD</x:v>
      </x:c>
    </x:row>
    <x:row r="105" ht="64" customHeight="1">
      <x:c r="A105" s="11" t="str">
        <x:v>H-021</x:v>
      </x:c>
      <x:c r="B105" s="11" t="str">
        <x:v>I2C独立复位电路</x:v>
      </x:c>
      <x:c r="C105" s="11" t="str">
        <x:v>MUX_RESET_SUPERVISOR_TBD</x:v>
      </x:c>
      <x:c r="D105" s="11" t="str">
        <x:v>UNKNOWN_VERIFY</x:v>
      </x:c>
      <x:c r="E105" s="13" t="n">
        <x:v>1</x:v>
      </x:c>
      <x:c r="F105" s="14" t="n">
        <x:v>0.1</x:v>
      </x:c>
      <x:c r="G105" s="13" t="n">
        <x:f>ROUNDUP(E105*(1+F105),0)</x:f>
        <x:v>2</x:v>
      </x:c>
      <x:c r="H105" s="11" t="str">
        <x:v>CE_H021_001</x:v>
      </x:c>
      <x:c r="I105" s="11" t="str">
        <x:v>PIN_REVIEW_TBD; Pin1/EP原生库待核</x:v>
      </x:c>
      <x:c r="J105" s="11" t="str">
        <x:v>SEE_POWER_DOMAIN_CONTRACT</x:v>
      </x:c>
      <x:c r="K105" s="11" t="str">
        <x:v>UNKNOWN</x:v>
      </x:c>
      <x:c r="L105" s="11" t="str">
        <x:v>CENTRAL_USB5V / 3V3</x:v>
      </x:c>
      <x:c r="M105" s="11" t="str">
        <x:v>CANDIDATE_ENGINEERING_REQUIREMENT</x:v>
      </x:c>
      <x:c r="N105" s="11" t="str">
        <x:v>授权渠道待选；不默认替代</x:v>
      </x:c>
      <x:c r="O105" s="11" t="str">
        <x:v>SEE_SOURCE_REGISTER</x:v>
      </x:c>
      <x:c r="P105" s="11" t="str">
        <x:v>2026-10-11</x:v>
      </x:c>
      <x:c r="Q105" s="11" t="str">
        <x:v>CANDIDATE</x:v>
      </x:c>
      <x:c r="R105" s="11" t="str">
        <x:v>User hardware design direction, electrical release pending</x:v>
      </x:c>
      <x:c r="S105" s="11" t="str">
        <x:v>No new PL GPIO claimed; supervisor/recovery method needs actual circuit</x:v>
      </x:c>
      <x:c r="T105" s="11" t="str">
        <x:v>UNKNOWN</x:v>
      </x:c>
      <x:c r="U105" s="11" t="str">
        <x:v>背面电子件 / 正面TX RX</x:v>
      </x:c>
      <x:c r="V105" s="11" t="str">
        <x:v>HOLD</x:v>
      </x:c>
    </x:row>
    <x:row r="106">
      <x:c r="A106" s="9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</x:row>
    <x:row r="107">
      <x:c r="A107" s="9" t="str">
        <x:v>装机数量合计</x:v>
      </x:c>
      <x:c r="B107" s="9"/>
      <x:c r="C107" s="9"/>
      <x:c r="D107" s="9"/>
      <x:c r="E107" s="9" t="n">
        <x:f>SUM(E5:E105)</x:f>
        <x:v>83</x:v>
      </x:c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  <x:c r="Q107" s="9"/>
      <x:c r="R107" s="9"/>
      <x:c r="S107" s="9"/>
      <x:c r="T107" s="9"/>
      <x:c r="U107" s="9"/>
      <x:c r="V107" s="9"/>
    </x:row>
  </x:sheetData>
  <x:pageMargins left="0.7" right="0.7" top="0.75" bottom="0.75" header="0.3" footer="0.3"/>
  <x:tableParts count="1">
    <x:tablePart xmlns:r="http://schemas.openxmlformats.org/officeDocument/2006/relationships" r:id="Rf3e7e1d193bb443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36" hidden="0" customWidth="1"/>
    <x:col min="3" max="3" width="46" hidden="0" customWidth="1"/>
    <x:col min="4" max="4" width="23" hidden="0" customWidth="1"/>
    <x:col min="5" max="5" width="10" hidden="0" customWidth="1"/>
    <x:col min="6" max="6" width="10" hidden="0" customWidth="1"/>
    <x:col min="7" max="7" width="11" hidden="0" customWidth="1"/>
    <x:col min="8" max="8" width="62" hidden="0" customWidth="1"/>
    <x:col min="9" max="9" width="50" hidden="0" customWidth="1"/>
    <x:col min="10" max="10" width="58" hidden="0" customWidth="1"/>
    <x:col min="11" max="11" width="16" hidden="0" customWidth="1"/>
    <x:col min="12" max="12" width="32" hidden="0" customWidth="1"/>
    <x:col min="13" max="13" width="76" hidden="0" customWidth="1"/>
    <x:col min="14" max="14" width="34" hidden="0" customWidth="1"/>
    <x:col min="15" max="15" width="28" hidden="0" customWidth="1"/>
    <x:col min="16" max="16" width="16" hidden="0" customWidth="1"/>
    <x:col min="17" max="17" width="53" hidden="0" customWidth="1"/>
    <x:col min="18" max="18" width="65" hidden="0" customWidth="1"/>
    <x:col min="19" max="19" width="105" hidden="0" customWidth="1"/>
    <x:col min="20" max="20" width="16" hidden="0" customWidth="1"/>
    <x:col min="21" max="21" width="32" hidden="0" customWidth="1"/>
    <x:col min="22" max="22" width="20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</x:row>
    <x:row r="2">
      <x:c r="A2" s="12" t="str">
        <x:v>Upper v5 四源供电工作 BOM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</x:row>
    <x:row r="3">
      <x:c r="A3" s="9" t="str">
        <x:v>采购 HOLD；DNP 行装机数为0；聚合无源件需分解定料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</x:row>
    <x:row r="4" ht="32" customHeight="1">
      <x:c r="A4" s="10" t="str">
        <x:v>ID</x:v>
      </x:c>
      <x:c r="B4" s="10" t="str">
        <x:v>器件名称</x:v>
      </x:c>
      <x:c r="C4" s="10" t="str">
        <x:v>完整MPN / 待定标记</x:v>
      </x:c>
      <x:c r="D4" s="10" t="str">
        <x:v>原厂</x:v>
      </x:c>
      <x:c r="E4" s="10" t="str">
        <x:v>装机数</x:v>
      </x:c>
      <x:c r="F4" s="10" t="str">
        <x:v>备件率</x:v>
      </x:c>
      <x:c r="G4" s="10" t="str">
        <x:v>计划数量</x:v>
      </x:c>
      <x:c r="H4" s="10" t="str">
        <x:v>位号</x:v>
      </x:c>
      <x:c r="I4" s="10" t="str">
        <x:v>封装 / Pin1 / EP</x:v>
      </x:c>
      <x:c r="J4" s="10" t="str">
        <x:v>主要额定 / 用途</x:v>
      </x:c>
      <x:c r="K4" s="10" t="str">
        <x:v>电流 A</x:v>
      </x:c>
      <x:c r="L4" s="10" t="str">
        <x:v>供电域</x:v>
      </x:c>
      <x:c r="M4" s="10" t="str">
        <x:v>原厂资料链接</x:v>
      </x:c>
      <x:c r="N4" s="10" t="str">
        <x:v>国内供应商 / 替代</x:v>
      </x:c>
      <x:c r="O4" s="10" t="str">
        <x:v>Datasheet版本</x:v>
      </x:c>
      <x:c r="P4" s="10" t="str">
        <x:v>检索日期</x:v>
      </x:c>
      <x:c r="Q4" s="10" t="str">
        <x:v>器件筛选状态</x:v>
      </x:c>
      <x:c r="R4" s="10" t="str">
        <x:v>批准来源</x:v>
      </x:c>
      <x:c r="S4" s="10" t="str">
        <x:v>未知及证明路径</x:v>
      </x:c>
      <x:c r="T4" s="10" t="str">
        <x:v>单价 CNY</x:v>
      </x:c>
      <x:c r="U4" s="10" t="str">
        <x:v>装配侧</x:v>
      </x:c>
      <x:c r="V4" s="10" t="str">
        <x:v>采购状态</x:v>
      </x:c>
    </x:row>
    <x:row r="5" ht="216" customHeight="1">
      <x:c r="A5" s="11" t="str">
        <x:v>B-001</x:v>
      </x:c>
      <x:c r="B5" s="11" t="str">
        <x:v>40kHz 超声发射换能器</x:v>
      </x:c>
      <x:c r="C5" s="11" t="str">
        <x:v>NU40C10T-2_ORDER_CODE_PENDING_VENDOR</x:v>
      </x:c>
      <x:c r="D5" s="11" t="str">
        <x:v>UNKNOWN_VERIFY</x:v>
      </x:c>
      <x:c r="E5" s="13" t="n">
        <x:v>64</x:v>
      </x:c>
      <x:c r="F5" s="14" t="n">
        <x:v>0.1</x:v>
      </x:c>
      <x:c r="G5" s="13" t="n">
        <x:f>ROUNDUP(E5*(1+F5),0)</x:f>
        <x:v>71</x:v>
      </x:c>
      <x:c r="H5" s="11" t="str">
        <x:v>UP_B001_001, UP_B001_002, UP_B001_003, UP_B001_004, UP_B001_005, UP_B001_006, UP_B001_007, UP_B001_008, UP_B001_009, UP_B001_010, UP_B001_011, UP_B001_012, UP_B001_013, UP_B001_014, UP_B001_015, UP_B001_016, UP_B001_017, UP_B001_018, UP_B001_019, UP_B001_020, UP_B001_021, UP_B001_022, UP_B001_023, UP_B001_024, UP_B001_025, UP_B001_026, UP_B001_027, UP_B001_028, UP_B001_029, UP_B001_030, UP_B001_031, UP_B001_032, UP_B001_033, UP_B001_034, UP_B001_035, UP_B001_036, UP_B001_037, UP_B001_038, UP_B001_039, UP_B001_040, UP_B001_041, UP_B001_042, UP_B001_043, UP_B001_044, UP_B001_045, UP_B001_046, UP_B001_047, UP_B001_048, UP_B001_049, UP_B001_050, UP_B001_051, UP_B001_052, UP_B001_053, UP_B001_054, UP_B001_055, UP_B001_056, UP_B001_057, UP_B001_058, UP_B001_059, UP_B001_060, UP_B001_061, UP_B001_062, UP_B001_063, UP_B001_064</x:v>
      </x:c>
      <x:c r="I5" s="11" t="str">
        <x:v>THT2; body9.8+/-0.5mm; pitch5.0+/-0.5mm; lead0.7+/-0.1mm; Pin1/EP原生库待核</x:v>
      </x:c>
      <x:c r="J5" s="11" t="str">
        <x:v>用户锁定发射器型号；供应商完整 datasheet / 焊脚尺寸尚需核实</x:v>
      </x:c>
      <x:c r="K5" s="11" t="str">
        <x:v>UNKNOWN</x:v>
      </x:c>
      <x:c r="L5" s="11" t="str">
        <x:v>LOCAL12V / 5V / 3V3</x:v>
      </x:c>
      <x:c r="M5" s="11" t="str">
        <x:v>USER_VENDOR_IMAGES_HASHES_IN_VENDOR_PARAMETERS.json</x:v>
      </x:c>
      <x:c r="N5" s="11" t="str">
        <x:v>授权渠道待选；不默认替代</x:v>
      </x:c>
      <x:c r="O5" s="11" t="str">
        <x:v>UNKNOWN_VERIFY</x:v>
      </x:c>
      <x:c r="P5" s="11" t="str">
        <x:v>2026-10-11</x:v>
      </x:c>
      <x:c r="Q5" s="11" t="str">
        <x:v>INHERITED_CANDIDATE_REQUIRES_NATIVE_PIN_REVIEW</x:v>
      </x:c>
      <x:c r="R5" s="11" t="str">
        <x:v>User v5 scope; no procurement permission</x:v>
      </x:c>
      <x:c r="S5" s="11" t="str">
        <x:v>Inherited candidate quantity; netlist/thermal review pending</x:v>
      </x:c>
      <x:c r="T5" s="11" t="str">
        <x:v>UNKNOWN</x:v>
      </x:c>
      <x:c r="U5" s="11" t="str">
        <x:v>背面电子件 / 正面TX RX</x:v>
      </x:c>
      <x:c r="V5" s="11" t="str">
        <x:v>HOLD</x:v>
      </x:c>
    </x:row>
    <x:row r="6" ht="64" customHeight="1">
      <x:c r="A6" s="11" t="str">
        <x:v>B-002</x:v>
      </x:c>
      <x:c r="B6" s="11" t="str">
        <x:v>40kHz 超声接收换能器</x:v>
      </x:c>
      <x:c r="C6" s="11" t="str">
        <x:v>NU40C10R-2_CANDIDATE_EXACT_RX_MPN_HOLD</x:v>
      </x:c>
      <x:c r="D6" s="11" t="str">
        <x:v>UNKNOWN_VERIFY</x:v>
      </x:c>
      <x:c r="E6" s="13" t="n">
        <x:v>4</x:v>
      </x:c>
      <x:c r="F6" s="14" t="n">
        <x:v>0.1</x:v>
      </x:c>
      <x:c r="G6" s="13" t="n">
        <x:f>ROUNDUP(E6*(1+F6),0)</x:f>
        <x:v>5</x:v>
      </x:c>
      <x:c r="H6" s="11" t="str">
        <x:v>UP_B002_001, UP_B002_002, UP_B002_003, UP_B002_004</x:v>
      </x:c>
      <x:c r="I6" s="11" t="str">
        <x:v>THT2_CANDIDATE_VERIFY_RX_MECHANICAL; Pin1/EP原生库待核</x:v>
      </x:c>
      <x:c r="J6" s="11" t="str">
        <x:v>同频匹配接收器；不得擅自把TX当RX</x:v>
      </x:c>
      <x:c r="K6" s="11" t="str">
        <x:v>UNKNOWN</x:v>
      </x:c>
      <x:c r="L6" s="11" t="str">
        <x:v>LOCAL12V / 5V / 3V3</x:v>
      </x:c>
      <x:c r="M6" s="11" t="str">
        <x:v>https://github.com/loverlike1216/SonoField-FPGA/tree/main/v5</x:v>
      </x:c>
      <x:c r="N6" s="11" t="str">
        <x:v>授权渠道待选；不默认替代</x:v>
      </x:c>
      <x:c r="O6" s="11" t="str">
        <x:v>UNKNOWN_VERIFY</x:v>
      </x:c>
      <x:c r="P6" s="11" t="str">
        <x:v>2026-10-11</x:v>
      </x:c>
      <x:c r="Q6" s="11" t="str">
        <x:v>INHERITED_CANDIDATE_REQUIRES_NATIVE_PIN_REVIEW</x:v>
      </x:c>
      <x:c r="R6" s="11" t="str">
        <x:v>User v5 scope; no procurement permission</x:v>
      </x:c>
      <x:c r="S6" s="11" t="str">
        <x:v>Inherited candidate quantity; netlist/thermal review pending</x:v>
      </x:c>
      <x:c r="T6" s="11" t="str">
        <x:v>UNKNOWN</x:v>
      </x:c>
      <x:c r="U6" s="11" t="str">
        <x:v>背面电子件 / 正面TX RX</x:v>
      </x:c>
      <x:c r="V6" s="11" t="str">
        <x:v>HOLD</x:v>
      </x:c>
    </x:row>
    <x:row r="7" ht="108" customHeight="1">
      <x:c r="A7" s="11" t="str">
        <x:v>B-003</x:v>
      </x:c>
      <x:c r="B7" s="11" t="str">
        <x:v>双通道功率驱动器</x:v>
      </x:c>
      <x:c r="C7" s="11" t="str">
        <x:v>TC4427AEOA713</x:v>
      </x:c>
      <x:c r="D7" s="11" t="str">
        <x:v>UNKNOWN_VERIFY</x:v>
      </x:c>
      <x:c r="E7" s="13" t="n">
        <x:v>32</x:v>
      </x:c>
      <x:c r="F7" s="14" t="n">
        <x:v>0.1</x:v>
      </x:c>
      <x:c r="G7" s="13" t="n">
        <x:f>ROUNDUP(E7*(1+F7),0)</x:f>
        <x:v>36</x:v>
      </x:c>
      <x:c r="H7" s="11" t="str">
        <x:v>UP_B003_001, UP_B003_002, UP_B003_003, UP_B003_004, UP_B003_005, UP_B003_006, UP_B003_007, UP_B003_008, UP_B003_009, UP_B003_010, UP_B003_011, UP_B003_012, UP_B003_013, UP_B003_014, UP_B003_015, UP_B003_016, UP_B003_017, UP_B003_018, UP_B003_019, UP_B003_020, UP_B003_021, UP_B003_022, UP_B003_023, UP_B003_024, UP_B003_025, UP_B003_026, UP_B003_027, UP_B003_028, UP_B003_029, UP_B003_030, UP_B003_031, UP_B003_032</x:v>
      </x:c>
      <x:c r="I7" s="11" t="str">
        <x:v>SOIC-8; Pin1/EP原生库待核</x:v>
      </x:c>
      <x:c r="J7" s="11" t="str">
        <x:v>2输出/芯片；12V首轮限流调试，不是NU40C10T额定电压</x:v>
      </x:c>
      <x:c r="K7" s="11" t="str">
        <x:v>UNKNOWN</x:v>
      </x:c>
      <x:c r="L7" s="11" t="str">
        <x:v>LOCAL12V / 5V / 3V3</x:v>
      </x:c>
      <x:c r="M7" s="11" t="str">
        <x:v>https://www.microchip.com/en-us/product/TC4427A</x:v>
      </x:c>
      <x:c r="N7" s="11" t="str">
        <x:v>授权渠道待选；不默认替代</x:v>
      </x:c>
      <x:c r="O7" s="11" t="str">
        <x:v>UNKNOWN_VERIFY</x:v>
      </x:c>
      <x:c r="P7" s="11" t="str">
        <x:v>2026-10-11</x:v>
      </x:c>
      <x:c r="Q7" s="11" t="str">
        <x:v>INHERITED_CANDIDATE_REQUIRES_NATIVE_PIN_REVIEW</x:v>
      </x:c>
      <x:c r="R7" s="11" t="str">
        <x:v>User v5 scope; no procurement permission</x:v>
      </x:c>
      <x:c r="S7" s="11" t="str">
        <x:v>Inherited candidate quantity; netlist/thermal review pending</x:v>
      </x:c>
      <x:c r="T7" s="11" t="str">
        <x:v>UNKNOWN</x:v>
      </x:c>
      <x:c r="U7" s="11" t="str">
        <x:v>背面电子件 / 正面TX RX</x:v>
      </x:c>
      <x:c r="V7" s="11" t="str">
        <x:v>HOLD</x:v>
      </x:c>
    </x:row>
    <x:row r="8" ht="64" customHeight="1">
      <x:c r="A8" s="11" t="str">
        <x:v>B-004</x:v>
      </x:c>
      <x:c r="B8" s="11" t="str">
        <x:v>8位串入并出寄存器</x:v>
      </x:c>
      <x:c r="C8" s="11" t="str">
        <x:v>SN74LVC595APWR</x:v>
      </x:c>
      <x:c r="D8" s="11" t="str">
        <x:v>UNKNOWN_VERIFY</x:v>
      </x:c>
      <x:c r="E8" s="13" t="n">
        <x:v>16</x:v>
      </x:c>
      <x:c r="F8" s="14" t="n">
        <x:v>0.1</x:v>
      </x:c>
      <x:c r="G8" s="13" t="n">
        <x:f>ROUNDUP(E8*(1+F8),0)</x:f>
        <x:v>18</x:v>
      </x:c>
      <x:c r="H8" s="11" t="str">
        <x:v>UP_B004_001, UP_B004_002, UP_B004_003, UP_B004_004, UP_B004_005, UP_B004_006, UP_B004_007, UP_B004_008, UP_B004_009, UP_B004_010, UP_B004_011, UP_B004_012, UP_B004_013, UP_B004_014, UP_B004_015, UP_B004_016</x:v>
      </x:c>
      <x:c r="I8" s="11" t="str">
        <x:v>TSSOP-16; Pin1/EP原生库待核</x:v>
      </x:c>
      <x:c r="J8" s="11" t="str">
        <x:v>每片4个有效输出；每侧16条独立串行lane</x:v>
      </x:c>
      <x:c r="K8" s="11" t="str">
        <x:v>UNKNOWN</x:v>
      </x:c>
      <x:c r="L8" s="11" t="str">
        <x:v>LOCAL12V / 5V / 3V3</x:v>
      </x:c>
      <x:c r="M8" s="11" t="str">
        <x:v>https://www.ti.com/product/SN74LVC595A</x:v>
      </x:c>
      <x:c r="N8" s="11" t="str">
        <x:v>授权渠道待选；不默认替代</x:v>
      </x:c>
      <x:c r="O8" s="11" t="str">
        <x:v>UNKNOWN_VERIFY</x:v>
      </x:c>
      <x:c r="P8" s="11" t="str">
        <x:v>2026-10-11</x:v>
      </x:c>
      <x:c r="Q8" s="11" t="str">
        <x:v>INHERITED_CANDIDATE_REQUIRES_NATIVE_PIN_REVIEW</x:v>
      </x:c>
      <x:c r="R8" s="11" t="str">
        <x:v>User v5 scope; no procurement permission</x:v>
      </x:c>
      <x:c r="S8" s="11" t="str">
        <x:v>Inherited candidate quantity; netlist/thermal review pending</x:v>
      </x:c>
      <x:c r="T8" s="11" t="str">
        <x:v>UNKNOWN</x:v>
      </x:c>
      <x:c r="U8" s="11" t="str">
        <x:v>背面电子件 / 正面TX RX</x:v>
      </x:c>
      <x:c r="V8" s="11" t="str">
        <x:v>HOLD</x:v>
      </x:c>
    </x:row>
    <x:row r="9" ht="64" customHeight="1">
      <x:c r="A9" s="11" t="str">
        <x:v>B-005</x:v>
      </x:c>
      <x:c r="B9" s="11" t="str">
        <x:v>8位双电源电平转换</x:v>
      </x:c>
      <x:c r="C9" s="11" t="str">
        <x:v>SN74AXC8T245PWR</x:v>
      </x:c>
      <x:c r="D9" s="11" t="str">
        <x:v>UNKNOWN_VERIFY</x:v>
      </x:c>
      <x:c r="E9" s="13" t="n">
        <x:v>4</x:v>
      </x:c>
      <x:c r="F9" s="14" t="n">
        <x:v>0.1</x:v>
      </x:c>
      <x:c r="G9" s="13" t="n">
        <x:f>ROUNDUP(E9*(1+F9),0)</x:f>
        <x:v>5</x:v>
      </x:c>
      <x:c r="H9" s="11" t="str">
        <x:v>UP_B005_001, UP_B005_002, UP_B005_003, UP_B005_004</x:v>
      </x:c>
      <x:c r="I9" s="11" t="str">
        <x:v>TSSOP-24; Pin1/EP原生库待核</x:v>
      </x:c>
      <x:c r="J9" s="11" t="str">
        <x:v>VCCA/VCCB均不得大于3.6V；根据VCCO放置与计算数量</x:v>
      </x:c>
      <x:c r="K9" s="11" t="str">
        <x:v>UNKNOWN</x:v>
      </x:c>
      <x:c r="L9" s="11" t="str">
        <x:v>LOCAL12V / 5V / 3V3</x:v>
      </x:c>
      <x:c r="M9" s="11" t="str">
        <x:v>https://www.ti.com/product/SN74AXC8T245</x:v>
      </x:c>
      <x:c r="N9" s="11" t="str">
        <x:v>授权渠道待选；不默认替代</x:v>
      </x:c>
      <x:c r="O9" s="11" t="str">
        <x:v>UNKNOWN_VERIFY</x:v>
      </x:c>
      <x:c r="P9" s="11" t="str">
        <x:v>2026-10-11</x:v>
      </x:c>
      <x:c r="Q9" s="11" t="str">
        <x:v>INHERITED_CANDIDATE_REQUIRES_NATIVE_PIN_REVIEW</x:v>
      </x:c>
      <x:c r="R9" s="11" t="str">
        <x:v>User v5 scope; no procurement permission</x:v>
      </x:c>
      <x:c r="S9" s="11" t="str">
        <x:v>Inherited candidate quantity; netlist/thermal review pending</x:v>
      </x:c>
      <x:c r="T9" s="11" t="str">
        <x:v>UNKNOWN</x:v>
      </x:c>
      <x:c r="U9" s="11" t="str">
        <x:v>背面电子件 / 正面TX RX</x:v>
      </x:c>
      <x:c r="V9" s="11" t="str">
        <x:v>HOLD</x:v>
      </x:c>
    </x:row>
    <x:row r="10" ht="64" customHeight="1">
      <x:c r="A10" s="11" t="str">
        <x:v>B-006</x:v>
      </x:c>
      <x:c r="B10" s="11" t="str">
        <x:v>8路时钟缓冲器</x:v>
      </x:c>
      <x:c r="C10" s="11" t="str">
        <x:v>SN74LVC244APWR</x:v>
      </x:c>
      <x:c r="D10" s="11" t="str">
        <x:v>UNKNOWN_VERIFY</x:v>
      </x:c>
      <x:c r="E10" s="13" t="n">
        <x:v>1</x:v>
      </x:c>
      <x:c r="F10" s="14" t="n">
        <x:v>0.1</x:v>
      </x:c>
      <x:c r="G10" s="13" t="n">
        <x:f>ROUNDUP(E10*(1+F10),0)</x:f>
        <x:v>2</x:v>
      </x:c>
      <x:c r="H10" s="11" t="str">
        <x:v>UP_B006_001</x:v>
      </x:c>
      <x:c r="I10" s="11" t="str">
        <x:v>TSSOP-20; Pin1/EP原生库待核</x:v>
      </x:c>
      <x:c r="J10" s="11" t="str">
        <x:v>每阵列1颗；4路SRCLK+4路RCLK 需负载证明</x:v>
      </x:c>
      <x:c r="K10" s="11" t="str">
        <x:v>UNKNOWN</x:v>
      </x:c>
      <x:c r="L10" s="11" t="str">
        <x:v>LOCAL12V / 5V / 3V3</x:v>
      </x:c>
      <x:c r="M10" s="11" t="str">
        <x:v>https://www.ti.com/product/SN74LVC244A</x:v>
      </x:c>
      <x:c r="N10" s="11" t="str">
        <x:v>授权渠道待选；不默认替代</x:v>
      </x:c>
      <x:c r="O10" s="11" t="str">
        <x:v>UNKNOWN_VERIFY</x:v>
      </x:c>
      <x:c r="P10" s="11" t="str">
        <x:v>2026-10-11</x:v>
      </x:c>
      <x:c r="Q10" s="11" t="str">
        <x:v>INHERITED_CANDIDATE_REQUIRES_NATIVE_PIN_REVIEW</x:v>
      </x:c>
      <x:c r="R10" s="11" t="str">
        <x:v>User v5 scope; no procurement permission</x:v>
      </x:c>
      <x:c r="S10" s="11" t="str">
        <x:v>Inherited candidate quantity; netlist/thermal review pending</x:v>
      </x:c>
      <x:c r="T10" s="11" t="str">
        <x:v>UNKNOWN</x:v>
      </x:c>
      <x:c r="U10" s="11" t="str">
        <x:v>背面电子件 / 正面TX RX</x:v>
      </x:c>
      <x:c r="V10" s="11" t="str">
        <x:v>HOLD</x:v>
      </x:c>
    </x:row>
    <x:row r="11" ht="64" customHeight="1">
      <x:c r="A11" s="11" t="str">
        <x:v>B-007</x:v>
      </x:c>
      <x:c r="B11" s="11" t="str">
        <x:v>双输入OR联锁门</x:v>
      </x:c>
      <x:c r="C11" s="11" t="str">
        <x:v>SN74LVC1G32DBVR</x:v>
      </x:c>
      <x:c r="D11" s="11" t="str">
        <x:v>UNKNOWN_VERIFY</x:v>
      </x:c>
      <x:c r="E11" s="13" t="n">
        <x:v>1</x:v>
      </x:c>
      <x:c r="F11" s="14" t="n">
        <x:v>0.1</x:v>
      </x:c>
      <x:c r="G11" s="13" t="n">
        <x:f>ROUNDUP(E11*(1+F11),0)</x:f>
        <x:v>2</x:v>
      </x:c>
      <x:c r="H11" s="11" t="str">
        <x:v>UP_B007_001</x:v>
      </x:c>
      <x:c r="I11" s="11" t="str">
        <x:v>SOT-23-5; Pin1/EP原生库待核</x:v>
      </x:c>
      <x:c r="J11" s="11" t="str">
        <x:v>OE fail-high 组合/拉起，逻辑需核验</x:v>
      </x:c>
      <x:c r="K11" s="11" t="str">
        <x:v>UNKNOWN</x:v>
      </x:c>
      <x:c r="L11" s="11" t="str">
        <x:v>LOCAL12V / 5V / 3V3</x:v>
      </x:c>
      <x:c r="M11" s="11" t="str">
        <x:v>https://www.ti.com/product/SN74LVC1G32</x:v>
      </x:c>
      <x:c r="N11" s="11" t="str">
        <x:v>授权渠道待选；不默认替代</x:v>
      </x:c>
      <x:c r="O11" s="11" t="str">
        <x:v>UNKNOWN_VERIFY</x:v>
      </x:c>
      <x:c r="P11" s="11" t="str">
        <x:v>2026-10-11</x:v>
      </x:c>
      <x:c r="Q11" s="11" t="str">
        <x:v>INHERITED_CANDIDATE_REQUIRES_NATIVE_PIN_REVIEW</x:v>
      </x:c>
      <x:c r="R11" s="11" t="str">
        <x:v>User v5 scope; no procurement permission</x:v>
      </x:c>
      <x:c r="S11" s="11" t="str">
        <x:v>Inherited candidate quantity; netlist/thermal review pending</x:v>
      </x:c>
      <x:c r="T11" s="11" t="str">
        <x:v>UNKNOWN</x:v>
      </x:c>
      <x:c r="U11" s="11" t="str">
        <x:v>背面电子件 / 正面TX RX</x:v>
      </x:c>
      <x:c r="V11" s="11" t="str">
        <x:v>HOLD</x:v>
      </x:c>
    </x:row>
    <x:row r="12" ht="64" customHeight="1">
      <x:c r="A12" s="11" t="str">
        <x:v>B-008</x:v>
      </x:c>
      <x:c r="B12" s="11" t="str">
        <x:v>独立上电复位/欠压检测</x:v>
      </x:c>
      <x:c r="C12" s="11" t="str">
        <x:v>TLV803 / TPS3839 类（需定料）</x:v>
      </x:c>
      <x:c r="D12" s="11" t="str">
        <x:v>UNKNOWN_VERIFY</x:v>
      </x:c>
      <x:c r="E12" s="13" t="n">
        <x:v>1</x:v>
      </x:c>
      <x:c r="F12" s="14" t="n">
        <x:v>0.1</x:v>
      </x:c>
      <x:c r="G12" s="13" t="n">
        <x:f>ROUNDUP(E12*(1+F12),0)</x:f>
        <x:v>2</x:v>
      </x:c>
      <x:c r="H12" s="11" t="str">
        <x:v>UP_B008_001</x:v>
      </x:c>
      <x:c r="I12" s="11" t="str">
        <x:v>SOT-23 TBD; Pin1/EP原生库待核</x:v>
      </x:c>
      <x:c r="J12" s="11" t="str">
        <x:v>监测各板本地3.3V；独立硬件复位/禁能</x:v>
      </x:c>
      <x:c r="K12" s="11" t="str">
        <x:v>UNKNOWN</x:v>
      </x:c>
      <x:c r="L12" s="11" t="str">
        <x:v>LOCAL12V / 5V / 3V3</x:v>
      </x:c>
      <x:c r="M12" s="11" t="str">
        <x:v>https://www.ti.com/product/TPS3839</x:v>
      </x:c>
      <x:c r="N12" s="11" t="str">
        <x:v>授权渠道待选；不默认替代</x:v>
      </x:c>
      <x:c r="O12" s="11" t="str">
        <x:v>UNKNOWN_VERIFY</x:v>
      </x:c>
      <x:c r="P12" s="11" t="str">
        <x:v>2026-10-11</x:v>
      </x:c>
      <x:c r="Q12" s="11" t="str">
        <x:v>INHERITED_CANDIDATE_REQUIRES_NATIVE_PIN_REVIEW</x:v>
      </x:c>
      <x:c r="R12" s="11" t="str">
        <x:v>User v5 scope; no procurement permission</x:v>
      </x:c>
      <x:c r="S12" s="11" t="str">
        <x:v>Inherited candidate quantity; netlist/thermal review pending</x:v>
      </x:c>
      <x:c r="T12" s="11" t="str">
        <x:v>UNKNOWN</x:v>
      </x:c>
      <x:c r="U12" s="11" t="str">
        <x:v>背面电子件 / 正面TX RX</x:v>
      </x:c>
      <x:c r="V12" s="11" t="str">
        <x:v>HOLD</x:v>
      </x:c>
    </x:row>
    <x:row r="13" ht="64" customHeight="1">
      <x:c r="A13" s="11" t="str">
        <x:v>B-009</x:v>
      </x:c>
      <x:c r="B13" s="11" t="str">
        <x:v>硬件失联看门狗</x:v>
      </x:c>
      <x:c r="C13" s="11" t="str">
        <x:v>TPS3430 类（需定料）</x:v>
      </x:c>
      <x:c r="D13" s="11" t="str">
        <x:v>UNKNOWN_VERIFY</x:v>
      </x:c>
      <x:c r="E13" s="13" t="n">
        <x:v>1</x:v>
      </x:c>
      <x:c r="F13" s="14" t="n">
        <x:v>0.1</x:v>
      </x:c>
      <x:c r="G13" s="13" t="n">
        <x:f>ROUNDUP(E13*(1+F13),0)</x:f>
        <x:v>2</x:v>
      </x:c>
      <x:c r="H13" s="11" t="str">
        <x:v>UP_B009_001</x:v>
      </x:c>
      <x:c r="I13" s="11" t="str">
        <x:v>TBD; Pin1/EP原生库待核</x:v>
      </x:c>
      <x:c r="J13" s="11" t="str">
        <x:v>EN必须由本地心跳与PGOOD共同允许；不可仅FPGA软件控制</x:v>
      </x:c>
      <x:c r="K13" s="11" t="str">
        <x:v>UNKNOWN</x:v>
      </x:c>
      <x:c r="L13" s="11" t="str">
        <x:v>LOCAL12V / 5V / 3V3</x:v>
      </x:c>
      <x:c r="M13" s="11" t="str">
        <x:v>https://www.ti.com/product/TPS3430</x:v>
      </x:c>
      <x:c r="N13" s="11" t="str">
        <x:v>授权渠道待选；不默认替代</x:v>
      </x:c>
      <x:c r="O13" s="11" t="str">
        <x:v>UNKNOWN_VERIFY</x:v>
      </x:c>
      <x:c r="P13" s="11" t="str">
        <x:v>2026-10-11</x:v>
      </x:c>
      <x:c r="Q13" s="11" t="str">
        <x:v>INHERITED_CANDIDATE_REQUIRES_NATIVE_PIN_REVIEW</x:v>
      </x:c>
      <x:c r="R13" s="11" t="str">
        <x:v>User v5 scope; no procurement permission</x:v>
      </x:c>
      <x:c r="S13" s="11" t="str">
        <x:v>Inherited candidate quantity; netlist/thermal review pending</x:v>
      </x:c>
      <x:c r="T13" s="11" t="str">
        <x:v>UNKNOWN</x:v>
      </x:c>
      <x:c r="U13" s="11" t="str">
        <x:v>背面电子件 / 正面TX RX</x:v>
      </x:c>
      <x:c r="V13" s="11" t="str">
        <x:v>HOLD</x:v>
      </x:c>
    </x:row>
    <x:row r="14" ht="64" customHeight="1">
      <x:c r="A14" s="11" t="str">
        <x:v>B-010</x:v>
      </x:c>
      <x:c r="B14" s="11" t="str">
        <x:v>4通道SPDT切换开关</x:v>
      </x:c>
      <x:c r="C14" s="11" t="str">
        <x:v>TMUX1574PWR</x:v>
      </x:c>
      <x:c r="D14" s="11" t="str">
        <x:v>UNKNOWN_VERIFY</x:v>
      </x:c>
      <x:c r="E14" s="13" t="n">
        <x:v>1</x:v>
      </x:c>
      <x:c r="F14" s="14" t="n">
        <x:v>0.1</x:v>
      </x:c>
      <x:c r="G14" s="13" t="n">
        <x:f>ROUNDUP(E14*(1+F14),0)</x:f>
        <x:v>2</x:v>
      </x:c>
      <x:c r="H14" s="11" t="str">
        <x:v>UP_B010_001</x:v>
      </x:c>
      <x:c r="I14" s="11" t="str">
        <x:v>TSSOP-16; Pin1/EP原生库待核</x:v>
      </x:c>
      <x:c r="J14" s="11" t="str">
        <x:v>每板4 RX通道；空白期切到静态偏置</x:v>
      </x:c>
      <x:c r="K14" s="11" t="str">
        <x:v>UNKNOWN</x:v>
      </x:c>
      <x:c r="L14" s="11" t="str">
        <x:v>LOCAL12V / 5V / 3V3</x:v>
      </x:c>
      <x:c r="M14" s="11" t="str">
        <x:v>https://www.ti.com/product/TMUX1574</x:v>
      </x:c>
      <x:c r="N14" s="11" t="str">
        <x:v>授权渠道待选；不默认替代</x:v>
      </x:c>
      <x:c r="O14" s="11" t="str">
        <x:v>UNKNOWN_VERIFY</x:v>
      </x:c>
      <x:c r="P14" s="11" t="str">
        <x:v>2026-10-11</x:v>
      </x:c>
      <x:c r="Q14" s="11" t="str">
        <x:v>INHERITED_CANDIDATE_REQUIRES_NATIVE_PIN_REVIEW</x:v>
      </x:c>
      <x:c r="R14" s="11" t="str">
        <x:v>User v5 scope; no procurement permission</x:v>
      </x:c>
      <x:c r="S14" s="11" t="str">
        <x:v>Inherited candidate quantity; netlist/thermal review pending</x:v>
      </x:c>
      <x:c r="T14" s="11" t="str">
        <x:v>UNKNOWN</x:v>
      </x:c>
      <x:c r="U14" s="11" t="str">
        <x:v>背面电子件 / 正面TX RX</x:v>
      </x:c>
      <x:c r="V14" s="11" t="str">
        <x:v>HOLD</x:v>
      </x:c>
    </x:row>
    <x:row r="15" ht="64" customHeight="1">
      <x:c r="A15" s="11" t="str">
        <x:v>B-011</x:v>
      </x:c>
      <x:c r="B15" s="11" t="str">
        <x:v>四路精密运放</x:v>
      </x:c>
      <x:c r="C15" s="11" t="str">
        <x:v>OPA4192IPWR</x:v>
      </x:c>
      <x:c r="D15" s="11" t="str">
        <x:v>UNKNOWN_VERIFY</x:v>
      </x:c>
      <x:c r="E15" s="13" t="n">
        <x:v>2</x:v>
      </x:c>
      <x:c r="F15" s="14" t="n">
        <x:v>0.1</x:v>
      </x:c>
      <x:c r="G15" s="13" t="n">
        <x:f>ROUNDUP(E15*(1+F15),0)</x:f>
        <x:v>3</x:v>
      </x:c>
      <x:c r="H15" s="11" t="str">
        <x:v>UP_B011_001, UP_B011_002</x:v>
      </x:c>
      <x:c r="I15" s="11" t="str">
        <x:v>TSSOP-14; Pin1/EP原生库待核</x:v>
      </x:c>
      <x:c r="J15" s="11" t="str">
        <x:v>每个RX两级，合计16运放单元</x:v>
      </x:c>
      <x:c r="K15" s="11" t="str">
        <x:v>UNKNOWN</x:v>
      </x:c>
      <x:c r="L15" s="11" t="str">
        <x:v>LOCAL12V / 5V / 3V3</x:v>
      </x:c>
      <x:c r="M15" s="11" t="str">
        <x:v>https://www.ti.com/product/OPA4192</x:v>
      </x:c>
      <x:c r="N15" s="11" t="str">
        <x:v>授权渠道待选；不默认替代</x:v>
      </x:c>
      <x:c r="O15" s="11" t="str">
        <x:v>UNKNOWN_VERIFY</x:v>
      </x:c>
      <x:c r="P15" s="11" t="str">
        <x:v>2026-10-11</x:v>
      </x:c>
      <x:c r="Q15" s="11" t="str">
        <x:v>INHERITED_CANDIDATE_REQUIRES_NATIVE_PIN_REVIEW</x:v>
      </x:c>
      <x:c r="R15" s="11" t="str">
        <x:v>User v5 scope; no procurement permission</x:v>
      </x:c>
      <x:c r="S15" s="11" t="str">
        <x:v>Inherited candidate quantity; netlist/thermal review pending</x:v>
      </x:c>
      <x:c r="T15" s="11" t="str">
        <x:v>UNKNOWN</x:v>
      </x:c>
      <x:c r="U15" s="11" t="str">
        <x:v>背面电子件 / 正面TX RX</x:v>
      </x:c>
      <x:c r="V15" s="11" t="str">
        <x:v>HOLD</x:v>
      </x:c>
    </x:row>
    <x:row r="16" ht="64" customHeight="1">
      <x:c r="A16" s="11" t="str">
        <x:v>B-012</x:v>
      </x:c>
      <x:c r="B16" s="11" t="str">
        <x:v>2.5V 精密偏置基准</x:v>
      </x:c>
      <x:c r="C16" s="11" t="str">
        <x:v>REF5025AIDR</x:v>
      </x:c>
      <x:c r="D16" s="11" t="str">
        <x:v>UNKNOWN_VERIFY</x:v>
      </x:c>
      <x:c r="E16" s="13" t="n">
        <x:v>1</x:v>
      </x:c>
      <x:c r="F16" s="14" t="n">
        <x:v>0.1</x:v>
      </x:c>
      <x:c r="G16" s="13" t="n">
        <x:f>ROUNDUP(E16*(1+F16),0)</x:f>
        <x:v>2</x:v>
      </x:c>
      <x:c r="H16" s="11" t="str">
        <x:v>UP_B012_001</x:v>
      </x:c>
      <x:c r="I16" s="11" t="str">
        <x:v>SOIC-8; Pin1/EP原生库待核</x:v>
      </x:c>
      <x:c r="J16" s="11" t="str">
        <x:v>各板一颗；ADC内部基准另按AD7606B约束</x:v>
      </x:c>
      <x:c r="K16" s="11" t="str">
        <x:v>UNKNOWN</x:v>
      </x:c>
      <x:c r="L16" s="11" t="str">
        <x:v>LOCAL12V / 5V / 3V3</x:v>
      </x:c>
      <x:c r="M16" s="11" t="str">
        <x:v>https://www.ti.com/product/REF5025</x:v>
      </x:c>
      <x:c r="N16" s="11" t="str">
        <x:v>授权渠道待选；不默认替代</x:v>
      </x:c>
      <x:c r="O16" s="11" t="str">
        <x:v>UNKNOWN_VERIFY</x:v>
      </x:c>
      <x:c r="P16" s="11" t="str">
        <x:v>2026-10-11</x:v>
      </x:c>
      <x:c r="Q16" s="11" t="str">
        <x:v>INHERITED_CANDIDATE_REQUIRES_NATIVE_PIN_REVIEW</x:v>
      </x:c>
      <x:c r="R16" s="11" t="str">
        <x:v>User v5 scope; no procurement permission</x:v>
      </x:c>
      <x:c r="S16" s="11" t="str">
        <x:v>Inherited candidate quantity; netlist/thermal review pending</x:v>
      </x:c>
      <x:c r="T16" s="11" t="str">
        <x:v>UNKNOWN</x:v>
      </x:c>
      <x:c r="U16" s="11" t="str">
        <x:v>背面电子件 / 正面TX RX</x:v>
      </x:c>
      <x:c r="V16" s="11" t="str">
        <x:v>HOLD</x:v>
      </x:c>
    </x:row>
    <x:row r="17" ht="64" customHeight="1">
      <x:c r="A17" s="11" t="str">
        <x:v>B-013</x:v>
      </x:c>
      <x:c r="B17" s="11" t="str">
        <x:v>双肖特基输入保护</x:v>
      </x:c>
      <x:c r="C17" s="11" t="str">
        <x:v>BAT54S</x:v>
      </x:c>
      <x:c r="D17" s="11" t="str">
        <x:v>UNKNOWN_VERIFY</x:v>
      </x:c>
      <x:c r="E17" s="13" t="n">
        <x:v>4</x:v>
      </x:c>
      <x:c r="F17" s="14" t="n">
        <x:v>0.1</x:v>
      </x:c>
      <x:c r="G17" s="13" t="n">
        <x:f>ROUNDUP(E17*(1+F17),0)</x:f>
        <x:v>5</x:v>
      </x:c>
      <x:c r="H17" s="11" t="str">
        <x:v>UP_B013_001, UP_B013_002, UP_B013_003, UP_B013_004</x:v>
      </x:c>
      <x:c r="I17" s="11" t="str">
        <x:v>SOT-23; Pin1/EP原生库待核</x:v>
      </x:c>
      <x:c r="J17" s="11" t="str">
        <x:v>每RX一路</x:v>
      </x:c>
      <x:c r="K17" s="11" t="str">
        <x:v>UNKNOWN</x:v>
      </x:c>
      <x:c r="L17" s="11" t="str">
        <x:v>LOCAL12V / 5V / 3V3</x:v>
      </x:c>
      <x:c r="M17" s="11" t="str">
        <x:v>https://www.lcsc.com</x:v>
      </x:c>
      <x:c r="N17" s="11" t="str">
        <x:v>授权渠道待选；不默认替代</x:v>
      </x:c>
      <x:c r="O17" s="11" t="str">
        <x:v>UNKNOWN_VERIFY</x:v>
      </x:c>
      <x:c r="P17" s="11" t="str">
        <x:v>2026-10-11</x:v>
      </x:c>
      <x:c r="Q17" s="11" t="str">
        <x:v>INHERITED_CANDIDATE_REQUIRES_NATIVE_PIN_REVIEW</x:v>
      </x:c>
      <x:c r="R17" s="11" t="str">
        <x:v>User v5 scope; no procurement permission</x:v>
      </x:c>
      <x:c r="S17" s="11" t="str">
        <x:v>Inherited candidate quantity; netlist/thermal review pending</x:v>
      </x:c>
      <x:c r="T17" s="11" t="str">
        <x:v>UNKNOWN</x:v>
      </x:c>
      <x:c r="U17" s="11" t="str">
        <x:v>背面电子件 / 正面TX RX</x:v>
      </x:c>
      <x:c r="V17" s="11" t="str">
        <x:v>HOLD</x:v>
      </x:c>
    </x:row>
    <x:row r="18" ht="64" customHeight="1">
      <x:c r="A18" s="11" t="str">
        <x:v>B-014</x:v>
      </x:c>
      <x:c r="B18" s="11" t="str">
        <x:v>8通道同步16bit ADC</x:v>
      </x:c>
      <x:c r="C18" s="11" t="str">
        <x:v>AD7606C-16BSTZ-RL</x:v>
      </x:c>
      <x:c r="D18" s="11" t="str">
        <x:v>Analog Devices</x:v>
      </x:c>
      <x:c r="E18" s="13" t="n">
        <x:v>0</x:v>
      </x:c>
      <x:c r="F18" s="14" t="n">
        <x:v>0.1</x:v>
      </x:c>
      <x:c r="G18" s="13" t="n">
        <x:f>ROUNDUP(E18*(1+F18),0)</x:f>
        <x:v>0</x:v>
      </x:c>
      <x:c r="H18" s="11" t="str"/>
      <x:c r="I18" s="11" t="str">
        <x:v>LQFP64 ST-64-2; Pin1/native footprint/order suffix HOLD; Pin1/EP原生库待核</x:v>
      </x:c>
      <x:c r="J18" s="11" t="str">
        <x:v>AVCC4.75..5.25V; VDRIVE3V3 candidate; highBW220kHz +/-5VSE</x:v>
      </x:c>
      <x:c r="K18" s="11" t="n">
        <x:v>0.05</x:v>
      </x:c>
      <x:c r="L18" s="11" t="str">
        <x:v>LOCAL12V / 5V / 3V3</x:v>
      </x:c>
      <x:c r="M18" s="11" t="str">
        <x:v>https://www.analog.com/media/en/technical-documentation/data-sheets/ad7606c-16.pdf</x:v>
      </x:c>
      <x:c r="N18" s="11" t="str">
        <x:v>授权渠道待选；不默认替代</x:v>
      </x:c>
      <x:c r="O18" s="11" t="str">
        <x:v>Rev.A</x:v>
      </x:c>
      <x:c r="P18" s="11" t="str">
        <x:v>2026-10-11</x:v>
      </x:c>
      <x:c r="Q18" s="11" t="str">
        <x:v>DESIGN_SELECTED_DEVICE_DIRECTION_ELECTRICAL_HOLD</x:v>
      </x:c>
      <x:c r="R18" s="11" t="str">
        <x:v>User v5 scope; no procurement permission</x:v>
      </x:c>
      <x:c r="S18" s="11" t="str">
        <x:v>50mA max AVCC1MSPS data-sheet envelope only; add VDRIVE/reference/AFE/startup; not measured central budget</x:v>
      </x:c>
      <x:c r="T18" s="11" t="str">
        <x:v>UNKNOWN</x:v>
      </x:c>
      <x:c r="U18" s="11" t="str">
        <x:v>背面电子件 / 正面TX RX</x:v>
      </x:c>
      <x:c r="V18" s="11" t="str">
        <x:v>HOLD</x:v>
      </x:c>
    </x:row>
    <x:row r="19" ht="64" customHeight="1">
      <x:c r="A19" s="11" t="str">
        <x:v>B-015</x:v>
      </x:c>
      <x:c r="B19" s="11" t="str">
        <x:v>ADC RC输入限流/缓冲网络</x:v>
      </x:c>
      <x:c r="C19" s="11" t="str">
        <x:v>47Ω+1nF C0G 组合</x:v>
      </x:c>
      <x:c r="D19" s="11" t="str">
        <x:v>UNKNOWN_VERIFY</x:v>
      </x:c>
      <x:c r="E19" s="13" t="n">
        <x:v>0</x:v>
      </x:c>
      <x:c r="F19" s="14" t="n">
        <x:v>0.1</x:v>
      </x:c>
      <x:c r="G19" s="13" t="n">
        <x:f>ROUNDUP(E19*(1+F19),0)</x:f>
        <x:v>0</x:v>
      </x:c>
      <x:c r="H19" s="11" t="str"/>
      <x:c r="I19" s="11" t="str">
        <x:v>离散; Pin1/EP原生库待核</x:v>
      </x:c>
      <x:c r="J19" s="11" t="str">
        <x:v>8路; 初值非最终ADC驱动网络</x:v>
      </x:c>
      <x:c r="K19" s="11" t="str">
        <x:v>UNKNOWN</x:v>
      </x:c>
      <x:c r="L19" s="11" t="str">
        <x:v>LOCAL12V / 5V / 3V3</x:v>
      </x:c>
      <x:c r="M19" s="11" t="str">
        <x:v>https://www.analog.com/en/products/ad7606b.html</x:v>
      </x:c>
      <x:c r="N19" s="11" t="str">
        <x:v>授权渠道待选；不默认替代</x:v>
      </x:c>
      <x:c r="O19" s="11" t="str">
        <x:v>UNKNOWN_VERIFY</x:v>
      </x:c>
      <x:c r="P19" s="11" t="str">
        <x:v>2026-10-11</x:v>
      </x:c>
      <x:c r="Q19" s="11" t="str">
        <x:v>INHERITED_CANDIDATE_REQUIRES_NATIVE_PIN_REVIEW</x:v>
      </x:c>
      <x:c r="R19" s="11" t="str">
        <x:v>User v5 scope; no procurement permission</x:v>
      </x:c>
      <x:c r="S19" s="11" t="str">
        <x:v>Inherited candidate quantity; netlist/thermal review pending</x:v>
      </x:c>
      <x:c r="T19" s="11" t="str">
        <x:v>UNKNOWN</x:v>
      </x:c>
      <x:c r="U19" s="11" t="str">
        <x:v>背面电子件 / 正面TX RX</x:v>
      </x:c>
      <x:c r="V19" s="11" t="str">
        <x:v>HOLD</x:v>
      </x:c>
    </x:row>
    <x:row r="20" ht="64" customHeight="1">
      <x:c r="A20" s="11" t="str">
        <x:v>B-016</x:v>
      </x:c>
      <x:c r="B20" s="11" t="str">
        <x:v>ADC基准去耦/配置网络</x:v>
      </x:c>
      <x:c r="C20" s="11" t="str">
        <x:v>AD7606C16_REFERENCE_DECOUPLING_ALLOCATION</x:v>
      </x:c>
      <x:c r="D20" s="11" t="str">
        <x:v>UNKNOWN_VERIFY</x:v>
      </x:c>
      <x:c r="E20" s="13" t="n">
        <x:v>0</x:v>
      </x:c>
      <x:c r="F20" s="14" t="n">
        <x:v>0.1</x:v>
      </x:c>
      <x:c r="G20" s="13" t="n">
        <x:f>ROUNDUP(E20*(1+F20),0)</x:f>
        <x:v>0</x:v>
      </x:c>
      <x:c r="H20" s="11" t="str"/>
      <x:c r="I20" s="11" t="str">
        <x:v>ALLOCATION_NOTE_NOT_A_PHYSICAL_COMPONENT; Pin1/EP原生库待核</x:v>
      </x:c>
      <x:c r="J20" s="11" t="str">
        <x:v>按ADI推荐布局；与REF5025 RX偏置区分</x:v>
      </x:c>
      <x:c r="K20" s="11" t="str">
        <x:v>UNKNOWN</x:v>
      </x:c>
      <x:c r="L20" s="11" t="str">
        <x:v>LOCAL12V / 5V / 3V3</x:v>
      </x:c>
      <x:c r="M20" s="11" t="str">
        <x:v>https://www.analog.com/en/products/ad7606b.html</x:v>
      </x:c>
      <x:c r="N20" s="11" t="str">
        <x:v>授权渠道待选；不默认替代</x:v>
      </x:c>
      <x:c r="O20" s="11" t="str">
        <x:v>UNKNOWN_VERIFY</x:v>
      </x:c>
      <x:c r="P20" s="11" t="str">
        <x:v>2026-10-11</x:v>
      </x:c>
      <x:c r="Q20" s="11" t="str">
        <x:v>INHERITED_CANDIDATE_REQUIRES_NATIVE_PIN_REVIEW</x:v>
      </x:c>
      <x:c r="R20" s="11" t="str">
        <x:v>User v5 scope; no procurement permission</x:v>
      </x:c>
      <x:c r="S20" s="11" t="str">
        <x:v>B047central2: REGCAP36/39 each1uF; B049one: REFCAP44+45 10uF lowESR; B046one REFIN42 100nF and four AVCC bypass; remaining aggregate caps require pin-level allocation</x:v>
      </x:c>
      <x:c r="T20" s="11" t="str">
        <x:v>UNKNOWN</x:v>
      </x:c>
      <x:c r="U20" s="11" t="str">
        <x:v>背面电子件 / 正面TX RX</x:v>
      </x:c>
      <x:c r="V20" s="11" t="str">
        <x:v>HOLD</x:v>
      </x:c>
    </x:row>
    <x:row r="21" ht="64" customHeight="1">
      <x:c r="A21" s="11" t="str">
        <x:v>B-017</x:v>
      </x:c>
      <x:c r="B21" s="11" t="str">
        <x:v>温湿度传感器</x:v>
      </x:c>
      <x:c r="C21" s="11" t="str">
        <x:v>SHT45-AD1B-R2</x:v>
      </x:c>
      <x:c r="D21" s="11" t="str">
        <x:v>UNKNOWN_VERIFY</x:v>
      </x:c>
      <x:c r="E21" s="13" t="n">
        <x:v>0</x:v>
      </x:c>
      <x:c r="F21" s="14" t="n">
        <x:v>0.1</x:v>
      </x:c>
      <x:c r="G21" s="13" t="n">
        <x:f>ROUNDUP(E21*(1+F21),0)</x:f>
        <x:v>0</x:v>
      </x:c>
      <x:c r="H21" s="11" t="str"/>
      <x:c r="I21" s="11" t="str">
        <x:v>DFN-4; Pin1/EP原生库待核</x:v>
      </x:c>
      <x:c r="J21" s="11" t="str">
        <x:v>I2C，远离发射功率温升</x:v>
      </x:c>
      <x:c r="K21" s="11" t="str">
        <x:v>UNKNOWN</x:v>
      </x:c>
      <x:c r="L21" s="11" t="str">
        <x:v>LOCAL12V / 5V / 3V3</x:v>
      </x:c>
      <x:c r="M21" s="11" t="str">
        <x:v>https://sensirion.com/products/catalog/SHT45</x:v>
      </x:c>
      <x:c r="N21" s="11" t="str">
        <x:v>授权渠道待选；不默认替代</x:v>
      </x:c>
      <x:c r="O21" s="11" t="str">
        <x:v>UNKNOWN_VERIFY</x:v>
      </x:c>
      <x:c r="P21" s="11" t="str">
        <x:v>2026-10-11</x:v>
      </x:c>
      <x:c r="Q21" s="11" t="str">
        <x:v>INHERITED_CANDIDATE_REQUIRES_NATIVE_PIN_REVIEW</x:v>
      </x:c>
      <x:c r="R21" s="11" t="str">
        <x:v>User v5 scope; no procurement permission</x:v>
      </x:c>
      <x:c r="S21" s="11" t="str">
        <x:v>SUPERSEDED_OR_OPTIONAL_DNP: see new H entries; not installed twice</x:v>
      </x:c>
      <x:c r="T21" s="11" t="str">
        <x:v>UNKNOWN</x:v>
      </x:c>
      <x:c r="U21" s="11" t="str">
        <x:v>背面电子件 / 正面TX RX</x:v>
      </x:c>
      <x:c r="V21" s="11" t="str">
        <x:v>HOLD</x:v>
      </x:c>
    </x:row>
    <x:row r="22" ht="64" customHeight="1">
      <x:c r="A22" s="11" t="str">
        <x:v>B-018</x:v>
      </x:c>
      <x:c r="B22" s="11" t="str">
        <x:v>独立12V电源输入座</x:v>
      </x:c>
      <x:c r="C22" s="11" t="str">
        <x:v>XT30PW-M30.G.Y</x:v>
      </x:c>
      <x:c r="D22" s="11" t="str">
        <x:v>UNKNOWN_VERIFY</x:v>
      </x:c>
      <x:c r="E22" s="13" t="n">
        <x:v>0</x:v>
      </x:c>
      <x:c r="F22" s="14" t="n">
        <x:v>0.1</x:v>
      </x:c>
      <x:c r="G22" s="13" t="n">
        <x:f>ROUNDUP(E22*(1+F22),0)</x:f>
        <x:v>0</x:v>
      </x:c>
      <x:c r="H22" s="11" t="str"/>
      <x:c r="I22" s="11" t="str">
        <x:v>THT; Pin1/EP原生库待核</x:v>
      </x:c>
      <x:c r="J22" s="11" t="str">
        <x:v>每阵列专属PWR_UP_IN/PWR_LO_IN；不得从J10/J11取功率</x:v>
      </x:c>
      <x:c r="K22" s="11" t="str">
        <x:v>UNKNOWN</x:v>
      </x:c>
      <x:c r="L22" s="11" t="str">
        <x:v>LOCAL12V / 5V / 3V3</x:v>
      </x:c>
      <x:c r="M22" s="11" t="str">
        <x:v>https://www.lcsc.com</x:v>
      </x:c>
      <x:c r="N22" s="11" t="str">
        <x:v>授权渠道待选；不默认替代</x:v>
      </x:c>
      <x:c r="O22" s="11" t="str">
        <x:v>UNKNOWN_VERIFY</x:v>
      </x:c>
      <x:c r="P22" s="11" t="str">
        <x:v>2026-10-11</x:v>
      </x:c>
      <x:c r="Q22" s="11" t="str">
        <x:v>INHERITED_CANDIDATE_REQUIRES_NATIVE_PIN_REVIEW</x:v>
      </x:c>
      <x:c r="R22" s="11" t="str">
        <x:v>User v5 scope; no procurement permission</x:v>
      </x:c>
      <x:c r="S22" s="11" t="str">
        <x:v>SUPERSEDED_OR_OPTIONAL_DNP: see new H entries; not installed twice</x:v>
      </x:c>
      <x:c r="T22" s="11" t="str">
        <x:v>UNKNOWN</x:v>
      </x:c>
      <x:c r="U22" s="11" t="str">
        <x:v>背面电子件 / 正面TX RX</x:v>
      </x:c>
      <x:c r="V22" s="11" t="str">
        <x:v>HOLD</x:v>
      </x:c>
    </x:row>
    <x:row r="23" ht="64" customHeight="1">
      <x:c r="A23" s="11" t="str">
        <x:v>B-019</x:v>
      </x:c>
      <x:c r="B23" s="11" t="str">
        <x:v>中央辅助电源接口</x:v>
      </x:c>
      <x:c r="C23" s="11" t="str">
        <x:v>XT30PW-M30.G.Y</x:v>
      </x:c>
      <x:c r="D23" s="11" t="str">
        <x:v>UNKNOWN_VERIFY</x:v>
      </x:c>
      <x:c r="E23" s="13" t="n">
        <x:v>0</x:v>
      </x:c>
      <x:c r="F23" s="14" t="n">
        <x:v>0.1</x:v>
      </x:c>
      <x:c r="G23" s="13" t="n">
        <x:f>ROUNDUP(E23*(1+F23),0)</x:f>
        <x:v>0</x:v>
      </x:c>
      <x:c r="H23" s="11" t="str"/>
      <x:c r="I23" s="11" t="str">
        <x:v>THT; Pin1/EP原生库待核</x:v>
      </x:c>
      <x:c r="J23" s="11" t="str">
        <x:v>为中央ADC与辅助逻辑提供独立电源；AX7020开发板自带电源独立</x:v>
      </x:c>
      <x:c r="K23" s="11" t="str">
        <x:v>UNKNOWN</x:v>
      </x:c>
      <x:c r="L23" s="11" t="str">
        <x:v>LOCAL12V / 5V / 3V3</x:v>
      </x:c>
      <x:c r="M23" s="11" t="str">
        <x:v>https://www.lcsc.com</x:v>
      </x:c>
      <x:c r="N23" s="11" t="str">
        <x:v>授权渠道待选；不默认替代</x:v>
      </x:c>
      <x:c r="O23" s="11" t="str">
        <x:v>UNKNOWN_VERIFY</x:v>
      </x:c>
      <x:c r="P23" s="11" t="str">
        <x:v>2026-10-11</x:v>
      </x:c>
      <x:c r="Q23" s="11" t="str">
        <x:v>INHERITED_CANDIDATE_REQUIRES_NATIVE_PIN_REVIEW</x:v>
      </x:c>
      <x:c r="R23" s="11" t="str">
        <x:v>User v5 scope; no procurement permission</x:v>
      </x:c>
      <x:c r="S23" s="11" t="str">
        <x:v>Removed central external power path; central AX7020-only source</x:v>
      </x:c>
      <x:c r="T23" s="11" t="str">
        <x:v>UNKNOWN</x:v>
      </x:c>
      <x:c r="U23" s="11" t="str">
        <x:v>背面电子件 / 正面TX RX</x:v>
      </x:c>
      <x:c r="V23" s="11" t="str">
        <x:v>HOLD</x:v>
      </x:c>
    </x:row>
    <x:row r="24" ht="64" customHeight="1">
      <x:c r="A24" s="11" t="str">
        <x:v>B-020</x:v>
      </x:c>
      <x:c r="B24" s="11" t="str">
        <x:v>正向/反向/过流eFuse</x:v>
      </x:c>
      <x:c r="C24" s="11" t="str">
        <x:v>TPS259470LRPWR</x:v>
      </x:c>
      <x:c r="D24" s="11" t="str">
        <x:v>UNKNOWN_VERIFY</x:v>
      </x:c>
      <x:c r="E24" s="13" t="n">
        <x:v>0</x:v>
      </x:c>
      <x:c r="F24" s="14" t="n">
        <x:v>0.1</x:v>
      </x:c>
      <x:c r="G24" s="13" t="n">
        <x:f>ROUNDUP(E24*(1+F24),0)</x:f>
        <x:v>0</x:v>
      </x:c>
      <x:c r="H24" s="11" t="str"/>
      <x:c r="I24" s="11" t="str">
        <x:v>VQFN-10; Pin1/EP原生库待核</x:v>
      </x:c>
      <x:c r="J24" s="11" t="str">
        <x:v>三路电源各自配置ILIM/OVLO；历史2A只是候选</x:v>
      </x:c>
      <x:c r="K24" s="11" t="str">
        <x:v>UNKNOWN</x:v>
      </x:c>
      <x:c r="L24" s="11" t="str">
        <x:v>LOCAL12V / 5V / 3V3</x:v>
      </x:c>
      <x:c r="M24" s="11" t="str">
        <x:v>https://www.ti.com/product/TPS25947</x:v>
      </x:c>
      <x:c r="N24" s="11" t="str">
        <x:v>授权渠道待选；不默认替代</x:v>
      </x:c>
      <x:c r="O24" s="11" t="str">
        <x:v>UNKNOWN_VERIFY</x:v>
      </x:c>
      <x:c r="P24" s="11" t="str">
        <x:v>2026-10-11</x:v>
      </x:c>
      <x:c r="Q24" s="11" t="str">
        <x:v>INHERITED_CANDIDATE_REQUIRES_NATIVE_PIN_REVIEW</x:v>
      </x:c>
      <x:c r="R24" s="11" t="str">
        <x:v>User v5 scope; no procurement permission</x:v>
      </x:c>
      <x:c r="S24" s="11" t="str">
        <x:v>SUPERSEDED_OR_OPTIONAL_DNP: see new H entries; not installed twice</x:v>
      </x:c>
      <x:c r="T24" s="11" t="str">
        <x:v>UNKNOWN</x:v>
      </x:c>
      <x:c r="U24" s="11" t="str">
        <x:v>背面电子件 / 正面TX RX</x:v>
      </x:c>
      <x:c r="V24" s="11" t="str">
        <x:v>HOLD</x:v>
      </x:c>
    </x:row>
    <x:row r="25" ht="64" customHeight="1">
      <x:c r="A25" s="11" t="str">
        <x:v>B-021</x:v>
      </x:c>
      <x:c r="B25" s="11" t="str">
        <x:v>电源监控IC</x:v>
      </x:c>
      <x:c r="C25" s="11" t="str">
        <x:v>INA226AIDGSR</x:v>
      </x:c>
      <x:c r="D25" s="11" t="str">
        <x:v>UNKNOWN_VERIFY</x:v>
      </x:c>
      <x:c r="E25" s="13" t="n">
        <x:v>1</x:v>
      </x:c>
      <x:c r="F25" s="14" t="n">
        <x:v>0.1</x:v>
      </x:c>
      <x:c r="G25" s="13" t="n">
        <x:f>ROUNDUP(E25*(1+F25),0)</x:f>
        <x:v>2</x:v>
      </x:c>
      <x:c r="H25" s="11" t="str">
        <x:v>UP_B021_001</x:v>
      </x:c>
      <x:c r="I25" s="11" t="str">
        <x:v>VSSOP-10; Pin1/EP原生库待核</x:v>
      </x:c>
      <x:c r="J25" s="11" t="str">
        <x:v>两阵列+中央各一颗，shunt实际功耗需核算</x:v>
      </x:c>
      <x:c r="K25" s="11" t="str">
        <x:v>UNKNOWN</x:v>
      </x:c>
      <x:c r="L25" s="11" t="str">
        <x:v>LOCAL12V / 5V / 3V3</x:v>
      </x:c>
      <x:c r="M25" s="11" t="str">
        <x:v>https://www.ti.com/product/INA226</x:v>
      </x:c>
      <x:c r="N25" s="11" t="str">
        <x:v>授权渠道待选；不默认替代</x:v>
      </x:c>
      <x:c r="O25" s="11" t="str">
        <x:v>UNKNOWN_VERIFY</x:v>
      </x:c>
      <x:c r="P25" s="11" t="str">
        <x:v>2026-10-11</x:v>
      </x:c>
      <x:c r="Q25" s="11" t="str">
        <x:v>INHERITED_CANDIDATE_REQUIRES_NATIVE_PIN_REVIEW</x:v>
      </x:c>
      <x:c r="R25" s="11" t="str">
        <x:v>User v5 scope; no procurement permission</x:v>
      </x:c>
      <x:c r="S25" s="11" t="str">
        <x:v>Inherited candidate quantity; netlist/thermal review pending</x:v>
      </x:c>
      <x:c r="T25" s="11" t="str">
        <x:v>UNKNOWN</x:v>
      </x:c>
      <x:c r="U25" s="11" t="str">
        <x:v>背面电子件 / 正面TX RX</x:v>
      </x:c>
      <x:c r="V25" s="11" t="str">
        <x:v>HOLD</x:v>
      </x:c>
    </x:row>
    <x:row r="26" ht="64" customHeight="1">
      <x:c r="A26" s="11" t="str">
        <x:v>B-022</x:v>
      </x:c>
      <x:c r="B26" s="11" t="str">
        <x:v>低值分流电阻</x:v>
      </x:c>
      <x:c r="C26" s="11" t="str">
        <x:v>20mΩ 2512 1% 2W</x:v>
      </x:c>
      <x:c r="D26" s="11" t="str">
        <x:v>UNKNOWN_VERIFY</x:v>
      </x:c>
      <x:c r="E26" s="13" t="n">
        <x:v>1</x:v>
      </x:c>
      <x:c r="F26" s="14" t="n">
        <x:v>0.1</x:v>
      </x:c>
      <x:c r="G26" s="13" t="n">
        <x:f>ROUNDUP(E26*(1+F26),0)</x:f>
        <x:v>2</x:v>
      </x:c>
      <x:c r="H26" s="11" t="str">
        <x:v>UP_B022_001</x:v>
      </x:c>
      <x:c r="I26" s="11" t="str">
        <x:v>2512; Pin1/EP原生库待核</x:v>
      </x:c>
      <x:c r="J26" s="11" t="str">
        <x:v>20mΩ：INA226电流测量满量程约±4.096A</x:v>
      </x:c>
      <x:c r="K26" s="11" t="str">
        <x:v>UNKNOWN</x:v>
      </x:c>
      <x:c r="L26" s="11" t="str">
        <x:v>LOCAL12V / 5V / 3V3</x:v>
      </x:c>
      <x:c r="M26" s="11" t="str">
        <x:v>https://www.lcsc.com</x:v>
      </x:c>
      <x:c r="N26" s="11" t="str">
        <x:v>授权渠道待选；不默认替代</x:v>
      </x:c>
      <x:c r="O26" s="11" t="str">
        <x:v>UNKNOWN_VERIFY</x:v>
      </x:c>
      <x:c r="P26" s="11" t="str">
        <x:v>2026-10-11</x:v>
      </x:c>
      <x:c r="Q26" s="11" t="str">
        <x:v>INHERITED_CANDIDATE_REQUIRES_NATIVE_PIN_REVIEW</x:v>
      </x:c>
      <x:c r="R26" s="11" t="str">
        <x:v>User v5 scope; no procurement permission</x:v>
      </x:c>
      <x:c r="S26" s="11" t="str">
        <x:v>Inherited candidate quantity; netlist/thermal review pending</x:v>
      </x:c>
      <x:c r="T26" s="11" t="str">
        <x:v>UNKNOWN</x:v>
      </x:c>
      <x:c r="U26" s="11" t="str">
        <x:v>背面电子件 / 正面TX RX</x:v>
      </x:c>
      <x:c r="V26" s="11" t="str">
        <x:v>HOLD</x:v>
      </x:c>
    </x:row>
    <x:row r="27" ht="64" customHeight="1">
      <x:c r="A27" s="11" t="str">
        <x:v>B-023</x:v>
      </x:c>
      <x:c r="B27" s="11" t="str">
        <x:v>输入TVS</x:v>
      </x:c>
      <x:c r="C27" s="11" t="str">
        <x:v>SMBJ20A 类</x:v>
      </x:c>
      <x:c r="D27" s="11" t="str">
        <x:v>UNKNOWN_VERIFY</x:v>
      </x:c>
      <x:c r="E27" s="13" t="n">
        <x:v>0</x:v>
      </x:c>
      <x:c r="F27" s="14" t="n">
        <x:v>0.1</x:v>
      </x:c>
      <x:c r="G27" s="13" t="n">
        <x:f>ROUNDUP(E27*(1+F27),0)</x:f>
        <x:v>0</x:v>
      </x:c>
      <x:c r="H27" s="11" t="str"/>
      <x:c r="I27" s="11" t="str">
        <x:v>SMB; Pin1/EP原生库待核</x:v>
      </x:c>
      <x:c r="J27" s="11" t="str">
        <x:v>SMBJ20A候选撤销释放；32.4V钳位高于eFuse28V abs max</x:v>
      </x:c>
      <x:c r="K27" s="11" t="str">
        <x:v>UNKNOWN</x:v>
      </x:c>
      <x:c r="L27" s="11" t="str">
        <x:v>LOCAL12V / 5V / 3V3</x:v>
      </x:c>
      <x:c r="M27" s="11" t="str">
        <x:v>https://www.littelfuse.com/products/tvs-diodes/smbj.aspx</x:v>
      </x:c>
      <x:c r="N27" s="11" t="str">
        <x:v>授权渠道待选；不默认替代</x:v>
      </x:c>
      <x:c r="O27" s="11" t="str">
        <x:v>UNKNOWN_VERIFY</x:v>
      </x:c>
      <x:c r="P27" s="11" t="str">
        <x:v>2026-10-11</x:v>
      </x:c>
      <x:c r="Q27" s="11" t="str">
        <x:v>INHERITED_CANDIDATE_REQUIRES_NATIVE_PIN_REVIEW</x:v>
      </x:c>
      <x:c r="R27" s="11" t="str">
        <x:v>User v5 scope; no procurement permission</x:v>
      </x:c>
      <x:c r="S27" s="11" t="str">
        <x:v>Old SMBJ20A removed from installed candidate; replacement requires clamp/energy proof</x:v>
      </x:c>
      <x:c r="T27" s="11" t="str">
        <x:v>UNKNOWN</x:v>
      </x:c>
      <x:c r="U27" s="11" t="str">
        <x:v>背面电子件 / 正面TX RX</x:v>
      </x:c>
      <x:c r="V27" s="11" t="str">
        <x:v>HOLD</x:v>
      </x:c>
    </x:row>
    <x:row r="28" ht="64" customHeight="1">
      <x:c r="A28" s="11" t="str">
        <x:v>B-024</x:v>
      </x:c>
      <x:c r="B28" s="11" t="str">
        <x:v>独立熔断器及座</x:v>
      </x:c>
      <x:c r="C28" s="11" t="str">
        <x:v>2A 慢断候选，具体值TBD</x:v>
      </x:c>
      <x:c r="D28" s="11" t="str">
        <x:v>UNKNOWN_VERIFY</x:v>
      </x:c>
      <x:c r="E28" s="13" t="n">
        <x:v>0</x:v>
      </x:c>
      <x:c r="F28" s="14" t="n">
        <x:v>0.1</x:v>
      </x:c>
      <x:c r="G28" s="13" t="n">
        <x:f>ROUNDUP(E28*(1+F28),0)</x:f>
        <x:v>0</x:v>
      </x:c>
      <x:c r="H28" s="11" t="str"/>
      <x:c r="I28" s="11" t="str">
        <x:v>TBD; Pin1/EP原生库待核</x:v>
      </x:c>
      <x:c r="J28" s="11" t="str">
        <x:v>3路/需按实测峰值选值</x:v>
      </x:c>
      <x:c r="K28" s="11" t="str">
        <x:v>UNKNOWN</x:v>
      </x:c>
      <x:c r="L28" s="11" t="str">
        <x:v>LOCAL12V / 5V / 3V3</x:v>
      </x:c>
      <x:c r="M28" s="11" t="str">
        <x:v>https://www.lcsc.com</x:v>
      </x:c>
      <x:c r="N28" s="11" t="str">
        <x:v>授权渠道待选；不默认替代</x:v>
      </x:c>
      <x:c r="O28" s="11" t="str">
        <x:v>UNKNOWN_VERIFY</x:v>
      </x:c>
      <x:c r="P28" s="11" t="str">
        <x:v>2026-10-11</x:v>
      </x:c>
      <x:c r="Q28" s="11" t="str">
        <x:v>INHERITED_CANDIDATE_REQUIRES_NATIVE_PIN_REVIEW</x:v>
      </x:c>
      <x:c r="R28" s="11" t="str">
        <x:v>User v5 scope; no procurement permission</x:v>
      </x:c>
      <x:c r="S28" s="11" t="str">
        <x:v>Old eFuse removed; TPS26631 path below is new candidate</x:v>
      </x:c>
      <x:c r="T28" s="11" t="str">
        <x:v>UNKNOWN</x:v>
      </x:c>
      <x:c r="U28" s="11" t="str">
        <x:v>背面电子件 / 正面TX RX</x:v>
      </x:c>
      <x:c r="V28" s="11" t="str">
        <x:v>HOLD</x:v>
      </x:c>
    </x:row>
    <x:row r="29" ht="64" customHeight="1">
      <x:c r="A29" s="11" t="str">
        <x:v>B-025</x:v>
      </x:c>
      <x:c r="B29" s="11" t="str">
        <x:v>板级电源总开关/硬件急停输入</x:v>
      </x:c>
      <x:c r="C29" s="11" t="str">
        <x:v>E-STOP接口 + NC触点/继电开关待定</x:v>
      </x:c>
      <x:c r="D29" s="11" t="str">
        <x:v>UNKNOWN_VERIFY</x:v>
      </x:c>
      <x:c r="E29" s="13" t="n">
        <x:v>1</x:v>
      </x:c>
      <x:c r="F29" s="14" t="n">
        <x:v>0.1</x:v>
      </x:c>
      <x:c r="G29" s="13" t="n">
        <x:f>ROUNDUP(E29*(1+F29),0)</x:f>
        <x:v>2</x:v>
      </x:c>
      <x:c r="H29" s="11" t="str">
        <x:v>UP_B025_001</x:v>
      </x:c>
      <x:c r="I29" s="11" t="str">
        <x:v>TBD; Pin1/EP原生库待核</x:v>
      </x:c>
      <x:c r="J29" s="11" t="str">
        <x:v>硬件切断driver enable或电源域，二选一/组合实测</x:v>
      </x:c>
      <x:c r="K29" s="11" t="str">
        <x:v>UNKNOWN</x:v>
      </x:c>
      <x:c r="L29" s="11" t="str">
        <x:v>LOCAL12V / 5V / 3V3</x:v>
      </x:c>
      <x:c r="M29" s="11" t="str">
        <x:v>https://www.ti.com/product/TPS25947</x:v>
      </x:c>
      <x:c r="N29" s="11" t="str">
        <x:v>授权渠道待选；不默认替代</x:v>
      </x:c>
      <x:c r="O29" s="11" t="str">
        <x:v>UNKNOWN_VERIFY</x:v>
      </x:c>
      <x:c r="P29" s="11" t="str">
        <x:v>2026-10-11</x:v>
      </x:c>
      <x:c r="Q29" s="11" t="str">
        <x:v>INHERITED_CANDIDATE_REQUIRES_NATIVE_PIN_REVIEW</x:v>
      </x:c>
      <x:c r="R29" s="11" t="str">
        <x:v>User v5 scope; no procurement permission</x:v>
      </x:c>
      <x:c r="S29" s="11" t="str">
        <x:v>Inherited candidate quantity; netlist/thermal review pending</x:v>
      </x:c>
      <x:c r="T29" s="11" t="str">
        <x:v>UNKNOWN</x:v>
      </x:c>
      <x:c r="U29" s="11" t="str">
        <x:v>背面电子件 / 正面TX RX</x:v>
      </x:c>
      <x:c r="V29" s="11" t="str">
        <x:v>HOLD</x:v>
      </x:c>
    </x:row>
    <x:row r="30" ht="64" customHeight="1">
      <x:c r="A30" s="11" t="str">
        <x:v>B-026</x:v>
      </x:c>
      <x:c r="B30" s="11" t="str">
        <x:v>本地PGOOD与FAULT反馈电路</x:v>
      </x:c>
      <x:c r="C30" s="11" t="str">
        <x:v>开漏/拉升/隔离网络 TBD</x:v>
      </x:c>
      <x:c r="D30" s="11" t="str">
        <x:v>UNKNOWN_VERIFY</x:v>
      </x:c>
      <x:c r="E30" s="13" t="n">
        <x:v>1</x:v>
      </x:c>
      <x:c r="F30" s="14" t="n">
        <x:v>0.1</x:v>
      </x:c>
      <x:c r="G30" s="13" t="n">
        <x:f>ROUNDUP(E30*(1+F30),0)</x:f>
        <x:v>2</x:v>
      </x:c>
      <x:c r="H30" s="11" t="str">
        <x:v>UP_B026_001</x:v>
      </x:c>
      <x:c r="I30" s="11" t="str">
        <x:v>离散; Pin1/EP原生库待核</x:v>
      </x:c>
      <x:c r="J30" s="11" t="str">
        <x:v>每板输出LOCAL_PGOOD/LOCAL_FAULT</x:v>
      </x:c>
      <x:c r="K30" s="11" t="str">
        <x:v>UNKNOWN</x:v>
      </x:c>
      <x:c r="L30" s="11" t="str">
        <x:v>LOCAL12V / 5V / 3V3</x:v>
      </x:c>
      <x:c r="M30" s="11" t="str">
        <x:v>https://www.ti.com/product/SN74AXC8T245</x:v>
      </x:c>
      <x:c r="N30" s="11" t="str">
        <x:v>授权渠道待选；不默认替代</x:v>
      </x:c>
      <x:c r="O30" s="11" t="str">
        <x:v>UNKNOWN_VERIFY</x:v>
      </x:c>
      <x:c r="P30" s="11" t="str">
        <x:v>2026-10-11</x:v>
      </x:c>
      <x:c r="Q30" s="11" t="str">
        <x:v>INHERITED_CANDIDATE_REQUIRES_NATIVE_PIN_REVIEW</x:v>
      </x:c>
      <x:c r="R30" s="11" t="str">
        <x:v>User v5 scope; no procurement permission</x:v>
      </x:c>
      <x:c r="S30" s="11" t="str">
        <x:v>Inherited candidate quantity; netlist/thermal review pending</x:v>
      </x:c>
      <x:c r="T30" s="11" t="str">
        <x:v>UNKNOWN</x:v>
      </x:c>
      <x:c r="U30" s="11" t="str">
        <x:v>背面电子件 / 正面TX RX</x:v>
      </x:c>
      <x:c r="V30" s="11" t="str">
        <x:v>HOLD</x:v>
      </x:c>
    </x:row>
    <x:row r="31" ht="64" customHeight="1">
      <x:c r="A31" s="11" t="str">
        <x:v>B-027</x:v>
      </x:c>
      <x:c r="B31" s="11" t="str">
        <x:v>3.3V数字电源DC/DC</x:v>
      </x:c>
      <x:c r="C31" s="11" t="str">
        <x:v>TPS54202DDCR</x:v>
      </x:c>
      <x:c r="D31" s="11" t="str">
        <x:v>Texas Instruments</x:v>
      </x:c>
      <x:c r="E31" s="13" t="n">
        <x:v>1</x:v>
      </x:c>
      <x:c r="F31" s="14" t="n">
        <x:v>0.1</x:v>
      </x:c>
      <x:c r="G31" s="13" t="n">
        <x:f>ROUNDUP(E31*(1+F31),0)</x:f>
        <x:v>2</x:v>
      </x:c>
      <x:c r="H31" s="11" t="str">
        <x:v>UP_B027_001</x:v>
      </x:c>
      <x:c r="I31" s="11" t="str">
        <x:v>SOT23_6_DDC; Pin1/EP原生库待核</x:v>
      </x:c>
      <x:c r="J31" s="11" t="str">
        <x:v>每板12V→3.3V；负载核验</x:v>
      </x:c>
      <x:c r="K31" s="11" t="str">
        <x:v>UNKNOWN</x:v>
      </x:c>
      <x:c r="L31" s="11" t="str">
        <x:v>LOCAL12V / 5V / 3V3</x:v>
      </x:c>
      <x:c r="M31" s="11" t="str">
        <x:v>https://www.ti.com/lit/ds/symlink/tps54202.pdf</x:v>
      </x:c>
      <x:c r="N31" s="11" t="str">
        <x:v>授权渠道待选；不默认替代</x:v>
      </x:c>
      <x:c r="O31" s="11" t="str">
        <x:v>UNKNOWN_VERIFY</x:v>
      </x:c>
      <x:c r="P31" s="11" t="str">
        <x:v>2026-10-11</x:v>
      </x:c>
      <x:c r="Q31" s="11" t="str">
        <x:v>INHERITED_CANDIDATE_REQUIRES_NATIVE_PIN_REVIEW</x:v>
      </x:c>
      <x:c r="R31" s="11" t="str">
        <x:v>User v5 scope; no procurement permission</x:v>
      </x:c>
      <x:c r="S31" s="11" t="str">
        <x:v>12V to 3.3V digital; L/C/thermal/EMI design HOLD</x:v>
      </x:c>
      <x:c r="T31" s="11" t="str">
        <x:v>UNKNOWN</x:v>
      </x:c>
      <x:c r="U31" s="11" t="str">
        <x:v>背面电子件 / 正面TX RX</x:v>
      </x:c>
      <x:c r="V31" s="11" t="str">
        <x:v>HOLD</x:v>
      </x:c>
    </x:row>
    <x:row r="32" ht="64" customHeight="1">
      <x:c r="A32" s="11" t="str">
        <x:v>B-028</x:v>
      </x:c>
      <x:c r="B32" s="11" t="str">
        <x:v>5.5V可调DC/DC</x:v>
      </x:c>
      <x:c r="C32" s="11" t="str">
        <x:v>TPS54202DDCR</x:v>
      </x:c>
      <x:c r="D32" s="11" t="str">
        <x:v>Texas Instruments</x:v>
      </x:c>
      <x:c r="E32" s="13" t="n">
        <x:v>1</x:v>
      </x:c>
      <x:c r="F32" s="14" t="n">
        <x:v>0.1</x:v>
      </x:c>
      <x:c r="G32" s="13" t="n">
        <x:f>ROUNDUP(E32*(1+F32),0)</x:f>
        <x:v>2</x:v>
      </x:c>
      <x:c r="H32" s="11" t="str">
        <x:v>UP_B028_001</x:v>
      </x:c>
      <x:c r="I32" s="11" t="str">
        <x:v>SOT23_6_DDC; Pin1/EP原生库待核</x:v>
      </x:c>
      <x:c r="J32" s="11" t="str">
        <x:v>5.5V预稳压+5V LDO；按实际负载核验</x:v>
      </x:c>
      <x:c r="K32" s="11" t="str">
        <x:v>UNKNOWN</x:v>
      </x:c>
      <x:c r="L32" s="11" t="str">
        <x:v>LOCAL12V / 5V / 3V3</x:v>
      </x:c>
      <x:c r="M32" s="11" t="str">
        <x:v>https://www.ti.com/lit/ds/symlink/tps54202.pdf</x:v>
      </x:c>
      <x:c r="N32" s="11" t="str">
        <x:v>授权渠道待选；不默认替代</x:v>
      </x:c>
      <x:c r="O32" s="11" t="str">
        <x:v>UNKNOWN_VERIFY</x:v>
      </x:c>
      <x:c r="P32" s="11" t="str">
        <x:v>2026-10-11</x:v>
      </x:c>
      <x:c r="Q32" s="11" t="str">
        <x:v>INHERITED_CANDIDATE_REQUIRES_NATIVE_PIN_REVIEW</x:v>
      </x:c>
      <x:c r="R32" s="11" t="str">
        <x:v>User v5 scope; no procurement permission</x:v>
      </x:c>
      <x:c r="S32" s="11" t="str">
        <x:v>12V to 5.5V then existing5V AFE LDO; L/C/thermal/EMI design HOLD</x:v>
      </x:c>
      <x:c r="T32" s="11" t="str">
        <x:v>UNKNOWN</x:v>
      </x:c>
      <x:c r="U32" s="11" t="str">
        <x:v>背面电子件 / 正面TX RX</x:v>
      </x:c>
      <x:c r="V32" s="11" t="str">
        <x:v>HOLD</x:v>
      </x:c>
    </x:row>
    <x:row r="33" ht="64" customHeight="1">
      <x:c r="A33" s="11" t="str">
        <x:v>B-029</x:v>
      </x:c>
      <x:c r="B33" s="11" t="str">
        <x:v>5V低噪声LDO</x:v>
      </x:c>
      <x:c r="C33" s="11" t="str">
        <x:v>ADP7118ACPZN5.0-R7</x:v>
      </x:c>
      <x:c r="D33" s="11" t="str">
        <x:v>UNKNOWN_VERIFY</x:v>
      </x:c>
      <x:c r="E33" s="13" t="n">
        <x:v>1</x:v>
      </x:c>
      <x:c r="F33" s="14" t="n">
        <x:v>0.1</x:v>
      </x:c>
      <x:c r="G33" s="13" t="n">
        <x:f>ROUNDUP(E33*(1+F33),0)</x:f>
        <x:v>2</x:v>
      </x:c>
      <x:c r="H33" s="11" t="str">
        <x:v>UP_B029_001</x:v>
      </x:c>
      <x:c r="I33" s="11" t="str">
        <x:v>LFCSP-6 / CP-6-3 (EP=GND); Pin1/EP原生库待核</x:v>
      </x:c>
      <x:c r="J33" s="11" t="str">
        <x:v>输出能力/热耗按精确封装与Iload审核</x:v>
      </x:c>
      <x:c r="K33" s="11" t="str">
        <x:v>UNKNOWN</x:v>
      </x:c>
      <x:c r="L33" s="11" t="str">
        <x:v>LOCAL12V / 5V / 3V3</x:v>
      </x:c>
      <x:c r="M33" s="11" t="str">
        <x:v>https://www.analog.com/en/products/adp7118.html</x:v>
      </x:c>
      <x:c r="N33" s="11" t="str">
        <x:v>授权渠道待选；不默认替代</x:v>
      </x:c>
      <x:c r="O33" s="11" t="str">
        <x:v>UNKNOWN_VERIFY</x:v>
      </x:c>
      <x:c r="P33" s="11" t="str">
        <x:v>2026-10-11</x:v>
      </x:c>
      <x:c r="Q33" s="11" t="str">
        <x:v>INHERITED_CANDIDATE_REQUIRES_NATIVE_PIN_REVIEW</x:v>
      </x:c>
      <x:c r="R33" s="11" t="str">
        <x:v>User v5 scope; no procurement permission</x:v>
      </x:c>
      <x:c r="S33" s="11" t="str">
        <x:v>No central12V supply/converter or5V-to5V LDO headroom; central header budget HOLD</x:v>
      </x:c>
      <x:c r="T33" s="11" t="str">
        <x:v>UNKNOWN</x:v>
      </x:c>
      <x:c r="U33" s="11" t="str">
        <x:v>背面电子件 / 正面TX RX</x:v>
      </x:c>
      <x:c r="V33" s="11" t="str">
        <x:v>HOLD</x:v>
      </x:c>
    </x:row>
    <x:row r="34" ht="64" customHeight="1">
      <x:c r="A34" s="11" t="str">
        <x:v>B-030</x:v>
      </x:c>
      <x:c r="B34" s="11" t="str">
        <x:v>DC/DC功率电感</x:v>
      </x:c>
      <x:c r="C34" s="11" t="str">
        <x:v>6.8µH ≥5A 候选</x:v>
      </x:c>
      <x:c r="D34" s="11" t="str">
        <x:v>UNKNOWN_VERIFY</x:v>
      </x:c>
      <x:c r="E34" s="13" t="n">
        <x:v>2</x:v>
      </x:c>
      <x:c r="F34" s="14" t="n">
        <x:v>0.1</x:v>
      </x:c>
      <x:c r="G34" s="13" t="n">
        <x:f>ROUNDUP(E34*(1+F34),0)</x:f>
        <x:v>3</x:v>
      </x:c>
      <x:c r="H34" s="11" t="str">
        <x:v>UP_B030_001, UP_B030_002</x:v>
      </x:c>
      <x:c r="I34" s="11" t="str">
        <x:v>SMD; Pin1/EP原生库待核</x:v>
      </x:c>
      <x:c r="J34" s="11" t="str">
        <x:v>两路buck每板2颗</x:v>
      </x:c>
      <x:c r="K34" s="11" t="str">
        <x:v>UNKNOWN</x:v>
      </x:c>
      <x:c r="L34" s="11" t="str">
        <x:v>LOCAL12V / 5V / 3V3</x:v>
      </x:c>
      <x:c r="M34" s="11" t="str">
        <x:v>https://www.diodes.com/part/view/AP63203</x:v>
      </x:c>
      <x:c r="N34" s="11" t="str">
        <x:v>授权渠道待选；不默认替代</x:v>
      </x:c>
      <x:c r="O34" s="11" t="str">
        <x:v>UNKNOWN_VERIFY</x:v>
      </x:c>
      <x:c r="P34" s="11" t="str">
        <x:v>2026-10-11</x:v>
      </x:c>
      <x:c r="Q34" s="11" t="str">
        <x:v>INHERITED_CANDIDATE_REQUIRES_NATIVE_PIN_REVIEW</x:v>
      </x:c>
      <x:c r="R34" s="11" t="str">
        <x:v>User v5 scope; no procurement permission</x:v>
      </x:c>
      <x:c r="S34" s="11" t="str">
        <x:v>No central12V supply/converter or5V-to5V LDO headroom; central header budget HOLD</x:v>
      </x:c>
      <x:c r="T34" s="11" t="str">
        <x:v>UNKNOWN</x:v>
      </x:c>
      <x:c r="U34" s="11" t="str">
        <x:v>背面电子件 / 正面TX RX</x:v>
      </x:c>
      <x:c r="V34" s="11" t="str">
        <x:v>HOLD</x:v>
      </x:c>
    </x:row>
    <x:row r="35" ht="64" customHeight="1">
      <x:c r="A35" s="11" t="str">
        <x:v>B-031</x:v>
      </x:c>
      <x:c r="B35" s="11" t="str">
        <x:v>模拟电源磁珠</x:v>
      </x:c>
      <x:c r="C35" s="11" t="str">
        <x:v>BLM21PG221SN1D</x:v>
      </x:c>
      <x:c r="D35" s="11" t="str">
        <x:v>UNKNOWN_VERIFY</x:v>
      </x:c>
      <x:c r="E35" s="13" t="n">
        <x:v>1</x:v>
      </x:c>
      <x:c r="F35" s="14" t="n">
        <x:v>0.1</x:v>
      </x:c>
      <x:c r="G35" s="13" t="n">
        <x:f>ROUNDUP(E35*(1+F35),0)</x:f>
        <x:v>2</x:v>
      </x:c>
      <x:c r="H35" s="11" t="str">
        <x:v>UP_B031_001</x:v>
      </x:c>
      <x:c r="I35" s="11" t="str">
        <x:v>0805; Pin1/EP原生库待核</x:v>
      </x:c>
      <x:c r="J35" s="11" t="str">
        <x:v>220Ω@100MHz / 2A 标称候选</x:v>
      </x:c>
      <x:c r="K35" s="11" t="str">
        <x:v>UNKNOWN</x:v>
      </x:c>
      <x:c r="L35" s="11" t="str">
        <x:v>LOCAL12V / 5V / 3V3</x:v>
      </x:c>
      <x:c r="M35" s="11" t="str">
        <x:v>https://www.lcsc.com</x:v>
      </x:c>
      <x:c r="N35" s="11" t="str">
        <x:v>授权渠道待选；不默认替代</x:v>
      </x:c>
      <x:c r="O35" s="11" t="str">
        <x:v>UNKNOWN_VERIFY</x:v>
      </x:c>
      <x:c r="P35" s="11" t="str">
        <x:v>2026-10-11</x:v>
      </x:c>
      <x:c r="Q35" s="11" t="str">
        <x:v>INHERITED_CANDIDATE_REQUIRES_NATIVE_PIN_REVIEW</x:v>
      </x:c>
      <x:c r="R35" s="11" t="str">
        <x:v>User v5 scope; no procurement permission</x:v>
      </x:c>
      <x:c r="S35" s="11" t="str">
        <x:v>Inherited candidate quantity; netlist/thermal review pending</x:v>
      </x:c>
      <x:c r="T35" s="11" t="str">
        <x:v>UNKNOWN</x:v>
      </x:c>
      <x:c r="U35" s="11" t="str">
        <x:v>背面电子件 / 正面TX RX</x:v>
      </x:c>
      <x:c r="V35" s="11" t="str">
        <x:v>HOLD</x:v>
      </x:c>
    </x:row>
    <x:row r="36" ht="64" customHeight="1">
      <x:c r="A36" s="11" t="str">
        <x:v>B-032</x:v>
      </x:c>
      <x:c r="B36" s="11" t="str">
        <x:v>PCB板温监测</x:v>
      </x:c>
      <x:c r="C36" s="11" t="str">
        <x:v>TMP117AIDRVR</x:v>
      </x:c>
      <x:c r="D36" s="11" t="str">
        <x:v>Texas Instruments</x:v>
      </x:c>
      <x:c r="E36" s="13" t="n">
        <x:v>1</x:v>
      </x:c>
      <x:c r="F36" s="14" t="n">
        <x:v>0.1</x:v>
      </x:c>
      <x:c r="G36" s="13" t="n">
        <x:f>ROUNDUP(E36*(1+F36),0)</x:f>
        <x:v>2</x:v>
      </x:c>
      <x:c r="H36" s="11" t="str">
        <x:v>UP_B032_001</x:v>
      </x:c>
      <x:c r="I36" s="11" t="str">
        <x:v>WSON-6; Pin1/EP原生库待核</x:v>
      </x:c>
      <x:c r="J36" s="11" t="str">
        <x:v>监测驱动温度，不等于空气温湿度</x:v>
      </x:c>
      <x:c r="K36" s="11" t="str">
        <x:v>UNKNOWN</x:v>
      </x:c>
      <x:c r="L36" s="11" t="str">
        <x:v>LOCAL12V / 5V / 3V3</x:v>
      </x:c>
      <x:c r="M36" s="11" t="str">
        <x:v>https://www.ti.com/lit/ds/symlink/tmp117.pdf</x:v>
      </x:c>
      <x:c r="N36" s="11" t="str">
        <x:v>授权渠道待选；不默认替代</x:v>
      </x:c>
      <x:c r="O36" s="11" t="str">
        <x:v>Rev.D</x:v>
      </x:c>
      <x:c r="P36" s="11" t="str">
        <x:v>2026-10-11</x:v>
      </x:c>
      <x:c r="Q36" s="11" t="str">
        <x:v>DESIGN_SELECTED_PACKAGE_PIN_REVIEW_HOLD</x:v>
      </x:c>
      <x:c r="R36" s="11" t="str">
        <x:v>User v5 scope; no procurement permission</x:v>
      </x:c>
      <x:c r="S36" s="11" t="str">
        <x:v>3 sensors required; CENTER air representative away from heat; UP0x49/DOWN0x4b/CENTER0x48; read ID/readiness and bounded bus; no temperatureCRC</x:v>
      </x:c>
      <x:c r="T36" s="11" t="str">
        <x:v>UNKNOWN</x:v>
      </x:c>
      <x:c r="U36" s="11" t="str">
        <x:v>背面电子件 / 正面TX RX</x:v>
      </x:c>
      <x:c r="V36" s="11" t="str">
        <x:v>HOLD</x:v>
      </x:c>
    </x:row>
    <x:row r="37" ht="64" customHeight="1">
      <x:c r="A37" s="11" t="str">
        <x:v>B-033</x:v>
      </x:c>
      <x:c r="B37" s="11" t="str">
        <x:v>AX7020 J10/J11对接端子</x:v>
      </x:c>
      <x:c r="C37" s="11" t="str">
        <x:v>2×20 2.54mm 对应插座/转接线（按实板决定）</x:v>
      </x:c>
      <x:c r="D37" s="11" t="str">
        <x:v>UNKNOWN_VERIFY</x:v>
      </x:c>
      <x:c r="E37" s="13" t="n">
        <x:v>0</x:v>
      </x:c>
      <x:c r="F37" s="14" t="n">
        <x:v>0.1</x:v>
      </x:c>
      <x:c r="G37" s="13" t="n">
        <x:f>ROUNDUP(E37*(1+F37),0)</x:f>
        <x:v>0</x:v>
      </x:c>
      <x:c r="H37" s="11" t="str"/>
      <x:c r="I37" s="11" t="str">
        <x:v>THT/线束TBD; Pin1/EP原生库待核</x:v>
      </x:c>
      <x:c r="J37" s="11" t="str">
        <x:v>2套对应PL扩展口；针脚编号必须实测</x:v>
      </x:c>
      <x:c r="K37" s="11" t="str">
        <x:v>UNKNOWN</x:v>
      </x:c>
      <x:c r="L37" s="11" t="str">
        <x:v>LOCAL12V / 5V / 3V3</x:v>
      </x:c>
      <x:c r="M37" s="11" t="str">
        <x:v>https://www.alinx.com/public/upload/file/AX7020_UG.pdf</x:v>
      </x:c>
      <x:c r="N37" s="11" t="str">
        <x:v>授权渠道待选；不默认替代</x:v>
      </x:c>
      <x:c r="O37" s="11" t="str">
        <x:v>UNKNOWN_VERIFY</x:v>
      </x:c>
      <x:c r="P37" s="11" t="str">
        <x:v>2026-10-11</x:v>
      </x:c>
      <x:c r="Q37" s="11" t="str">
        <x:v>INHERITED_CANDIDATE_REQUIRES_NATIVE_PIN_REVIEW</x:v>
      </x:c>
      <x:c r="R37" s="11" t="str">
        <x:v>User v5 scope; no procurement permission</x:v>
      </x:c>
      <x:c r="S37" s="11" t="str">
        <x:v>Inherited candidate quantity; netlist/thermal review pending</x:v>
      </x:c>
      <x:c r="T37" s="11" t="str">
        <x:v>UNKNOWN</x:v>
      </x:c>
      <x:c r="U37" s="11" t="str">
        <x:v>背面电子件 / 正面TX RX</x:v>
      </x:c>
      <x:c r="V37" s="11" t="str">
        <x:v>HOLD</x:v>
      </x:c>
    </x:row>
    <x:row r="38" ht="64" customHeight="1">
      <x:c r="A38" s="11" t="str">
        <x:v>B-034</x:v>
      </x:c>
      <x:c r="B38" s="11" t="str">
        <x:v>50芯独立数据接头</x:v>
      </x:c>
      <x:c r="C38" s="11" t="str">
        <x:v>2×25 IDC防呆（候选）</x:v>
      </x:c>
      <x:c r="D38" s="11" t="str">
        <x:v>UNKNOWN_VERIFY</x:v>
      </x:c>
      <x:c r="E38" s="13" t="n">
        <x:v>1</x:v>
      </x:c>
      <x:c r="F38" s="14" t="n">
        <x:v>0.1</x:v>
      </x:c>
      <x:c r="G38" s="13" t="n">
        <x:f>ROUNDUP(E38*(1+F38),0)</x:f>
        <x:v>2</x:v>
      </x:c>
      <x:c r="H38" s="11" t="str">
        <x:v>UP_B034_001</x:v>
      </x:c>
      <x:c r="I38" s="11" t="str">
        <x:v>THT; Pin1/EP原生库待核</x:v>
      </x:c>
      <x:c r="J38" s="11" t="str">
        <x:v>每板1个，高速数据+GND相邻，不能当成最终可用66MHz</x:v>
      </x:c>
      <x:c r="K38" s="11" t="str">
        <x:v>UNKNOWN</x:v>
      </x:c>
      <x:c r="L38" s="11" t="str">
        <x:v>LOCAL12V / 5V / 3V3</x:v>
      </x:c>
      <x:c r="M38" s="11" t="str">
        <x:v>https://www.lcsc.com/custom-cable-assembly</x:v>
      </x:c>
      <x:c r="N38" s="11" t="str">
        <x:v>授权渠道待选；不默认替代</x:v>
      </x:c>
      <x:c r="O38" s="11" t="str">
        <x:v>UNKNOWN_VERIFY</x:v>
      </x:c>
      <x:c r="P38" s="11" t="str">
        <x:v>2026-10-11</x:v>
      </x:c>
      <x:c r="Q38" s="11" t="str">
        <x:v>INHERITED_CANDIDATE_REQUIRES_NATIVE_PIN_REVIEW</x:v>
      </x:c>
      <x:c r="R38" s="11" t="str">
        <x:v>User v5 scope; no procurement permission</x:v>
      </x:c>
      <x:c r="S38" s="11" t="str">
        <x:v>Inherited candidate quantity; netlist/thermal review pending</x:v>
      </x:c>
      <x:c r="T38" s="11" t="str">
        <x:v>UNKNOWN</x:v>
      </x:c>
      <x:c r="U38" s="11" t="str">
        <x:v>背面电子件 / 正面TX RX</x:v>
      </x:c>
      <x:c r="V38" s="11" t="str">
        <x:v>HOLD</x:v>
      </x:c>
    </x:row>
    <x:row r="39" ht="64" customHeight="1">
      <x:c r="A39" s="11" t="str">
        <x:v>B-035</x:v>
      </x:c>
      <x:c r="B39" s="11" t="str">
        <x:v>数字数据扇出接口</x:v>
      </x:c>
      <x:c r="C39" s="11" t="str">
        <x:v>2×25 IDC防呆（候选）</x:v>
      </x:c>
      <x:c r="D39" s="11" t="str">
        <x:v>UNKNOWN_VERIFY</x:v>
      </x:c>
      <x:c r="E39" s="13" t="n">
        <x:v>0</x:v>
      </x:c>
      <x:c r="F39" s="14" t="n">
        <x:v>0.1</x:v>
      </x:c>
      <x:c r="G39" s="13" t="n">
        <x:f>ROUNDUP(E39*(1+F39),0)</x:f>
        <x:v>0</x:v>
      </x:c>
      <x:c r="H39" s="11" t="str"/>
      <x:c r="I39" s="11" t="str">
        <x:v>THT; Pin1/EP原生库待核</x:v>
      </x:c>
      <x:c r="J39" s="11" t="str">
        <x:v>上下各一个，配合Array接口</x:v>
      </x:c>
      <x:c r="K39" s="11" t="str">
        <x:v>UNKNOWN</x:v>
      </x:c>
      <x:c r="L39" s="11" t="str">
        <x:v>LOCAL12V / 5V / 3V3</x:v>
      </x:c>
      <x:c r="M39" s="11" t="str">
        <x:v>https://www.lcsc.com/custom-cable-assembly</x:v>
      </x:c>
      <x:c r="N39" s="11" t="str">
        <x:v>授权渠道待选；不默认替代</x:v>
      </x:c>
      <x:c r="O39" s="11" t="str">
        <x:v>UNKNOWN_VERIFY</x:v>
      </x:c>
      <x:c r="P39" s="11" t="str">
        <x:v>2026-10-11</x:v>
      </x:c>
      <x:c r="Q39" s="11" t="str">
        <x:v>INHERITED_CANDIDATE_REQUIRES_NATIVE_PIN_REVIEW</x:v>
      </x:c>
      <x:c r="R39" s="11" t="str">
        <x:v>User v5 scope; no procurement permission</x:v>
      </x:c>
      <x:c r="S39" s="11" t="str">
        <x:v>Inherited candidate quantity; netlist/thermal review pending</x:v>
      </x:c>
      <x:c r="T39" s="11" t="str">
        <x:v>UNKNOWN</x:v>
      </x:c>
      <x:c r="U39" s="11" t="str">
        <x:v>背面电子件 / 正面TX RX</x:v>
      </x:c>
      <x:c r="V39" s="11" t="str">
        <x:v>HOLD</x:v>
      </x:c>
    </x:row>
    <x:row r="40" ht="64" customHeight="1">
      <x:c r="A40" s="11" t="str">
        <x:v>B-036</x:v>
      </x:c>
      <x:c r="B40" s="11" t="str">
        <x:v>8芯4对模拟RX接口</x:v>
      </x:c>
      <x:c r="C40" s="11" t="str">
        <x:v>不带变压器的被动8P8C/屏蔽连接器</x:v>
      </x:c>
      <x:c r="D40" s="11" t="str">
        <x:v>UNKNOWN_VERIFY</x:v>
      </x:c>
      <x:c r="E40" s="13" t="n">
        <x:v>1</x:v>
      </x:c>
      <x:c r="F40" s="14" t="n">
        <x:v>0.1</x:v>
      </x:c>
      <x:c r="G40" s="13" t="n">
        <x:f>ROUNDUP(E40*(1+F40),0)</x:f>
        <x:v>2</x:v>
      </x:c>
      <x:c r="H40" s="11" t="str">
        <x:v>UP_B036_001</x:v>
      </x:c>
      <x:c r="I40" s="11" t="str">
        <x:v>THT; Pin1/EP原生库待核</x:v>
      </x:c>
      <x:c r="J40" s="11" t="str">
        <x:v>上/下阵列各1个，中央2个，明确标非以太网</x:v>
      </x:c>
      <x:c r="K40" s="11" t="str">
        <x:v>UNKNOWN</x:v>
      </x:c>
      <x:c r="L40" s="11" t="str">
        <x:v>LOCAL12V / 5V / 3V3</x:v>
      </x:c>
      <x:c r="M40" s="11" t="str">
        <x:v>https://www.lcsc.com</x:v>
      </x:c>
      <x:c r="N40" s="11" t="str">
        <x:v>授权渠道待选；不默认替代</x:v>
      </x:c>
      <x:c r="O40" s="11" t="str">
        <x:v>UNKNOWN_VERIFY</x:v>
      </x:c>
      <x:c r="P40" s="11" t="str">
        <x:v>2026-10-11</x:v>
      </x:c>
      <x:c r="Q40" s="11" t="str">
        <x:v>INHERITED_CANDIDATE_REQUIRES_NATIVE_PIN_REVIEW</x:v>
      </x:c>
      <x:c r="R40" s="11" t="str">
        <x:v>User v5 scope; no procurement permission</x:v>
      </x:c>
      <x:c r="S40" s="11" t="str">
        <x:v>Inherited candidate quantity; netlist/thermal review pending</x:v>
      </x:c>
      <x:c r="T40" s="11" t="str">
        <x:v>UNKNOWN</x:v>
      </x:c>
      <x:c r="U40" s="11" t="str">
        <x:v>背面电子件 / 正面TX RX</x:v>
      </x:c>
      <x:c r="V40" s="11" t="str">
        <x:v>HOLD</x:v>
      </x:c>
    </x:row>
    <x:row r="41" ht="64" customHeight="1">
      <x:c r="A41" s="11" t="str">
        <x:v>B-037</x:v>
      </x:c>
      <x:c r="B41" s="11" t="str">
        <x:v>远端I2C环境传感器插座</x:v>
      </x:c>
      <x:c r="C41" s="11" t="str">
        <x:v>JST XH 4P</x:v>
      </x:c>
      <x:c r="D41" s="11" t="str">
        <x:v>UNKNOWN_VERIFY</x:v>
      </x:c>
      <x:c r="E41" s="13" t="n">
        <x:v>0</x:v>
      </x:c>
      <x:c r="F41" s="14" t="n">
        <x:v>0.1</x:v>
      </x:c>
      <x:c r="G41" s="13" t="n">
        <x:f>ROUNDUP(E41*(1+F41),0)</x:f>
        <x:v>0</x:v>
      </x:c>
      <x:c r="H41" s="11" t="str"/>
      <x:c r="I41" s="11" t="str">
        <x:v>THT; Pin1/EP原生库待核</x:v>
      </x:c>
      <x:c r="J41" s="11" t="str">
        <x:v>3.3V/GND/SDA/SCL；电源来自中央辅助电源</x:v>
      </x:c>
      <x:c r="K41" s="11" t="str">
        <x:v>UNKNOWN</x:v>
      </x:c>
      <x:c r="L41" s="11" t="str">
        <x:v>LOCAL12V / 5V / 3V3</x:v>
      </x:c>
      <x:c r="M41" s="11" t="str">
        <x:v>https://www.lcsc.com</x:v>
      </x:c>
      <x:c r="N41" s="11" t="str">
        <x:v>授权渠道待选；不默认替代</x:v>
      </x:c>
      <x:c r="O41" s="11" t="str">
        <x:v>UNKNOWN_VERIFY</x:v>
      </x:c>
      <x:c r="P41" s="11" t="str">
        <x:v>2026-10-11</x:v>
      </x:c>
      <x:c r="Q41" s="11" t="str">
        <x:v>INHERITED_CANDIDATE_REQUIRES_NATIVE_PIN_REVIEW</x:v>
      </x:c>
      <x:c r="R41" s="11" t="str">
        <x:v>User v5 scope; no procurement permission</x:v>
      </x:c>
      <x:c r="S41" s="11" t="str">
        <x:v>Inherited candidate quantity; netlist/thermal review pending</x:v>
      </x:c>
      <x:c r="T41" s="11" t="str">
        <x:v>UNKNOWN</x:v>
      </x:c>
      <x:c r="U41" s="11" t="str">
        <x:v>背面电子件 / 正面TX RX</x:v>
      </x:c>
      <x:c r="V41" s="11" t="str">
        <x:v>HOLD</x:v>
      </x:c>
    </x:row>
    <x:row r="42" ht="64" customHeight="1">
      <x:c r="A42" s="11" t="str">
        <x:v>B-038</x:v>
      </x:c>
      <x:c r="B42" s="11" t="str">
        <x:v>远端I2C接口</x:v>
      </x:c>
      <x:c r="C42" s="11" t="str">
        <x:v>JST XH 4P</x:v>
      </x:c>
      <x:c r="D42" s="11" t="str">
        <x:v>UNKNOWN_VERIFY</x:v>
      </x:c>
      <x:c r="E42" s="13" t="n">
        <x:v>0</x:v>
      </x:c>
      <x:c r="F42" s="14" t="n">
        <x:v>0.1</x:v>
      </x:c>
      <x:c r="G42" s="13" t="n">
        <x:f>ROUNDUP(E42*(1+F42),0)</x:f>
        <x:v>0</x:v>
      </x:c>
      <x:c r="H42" s="11" t="str"/>
      <x:c r="I42" s="11" t="str">
        <x:v>THT; Pin1/EP原生库待核</x:v>
      </x:c>
      <x:c r="J42" s="11" t="str">
        <x:v>XH 4pin端子</x:v>
      </x:c>
      <x:c r="K42" s="11" t="str">
        <x:v>UNKNOWN</x:v>
      </x:c>
      <x:c r="L42" s="11" t="str">
        <x:v>LOCAL12V / 5V / 3V3</x:v>
      </x:c>
      <x:c r="M42" s="11" t="str">
        <x:v>https://www.lcsc.com</x:v>
      </x:c>
      <x:c r="N42" s="11" t="str">
        <x:v>授权渠道待选；不默认替代</x:v>
      </x:c>
      <x:c r="O42" s="11" t="str">
        <x:v>UNKNOWN_VERIFY</x:v>
      </x:c>
      <x:c r="P42" s="11" t="str">
        <x:v>2026-10-11</x:v>
      </x:c>
      <x:c r="Q42" s="11" t="str">
        <x:v>INHERITED_CANDIDATE_REQUIRES_NATIVE_PIN_REVIEW</x:v>
      </x:c>
      <x:c r="R42" s="11" t="str">
        <x:v>User v5 scope; no procurement permission</x:v>
      </x:c>
      <x:c r="S42" s="11" t="str">
        <x:v>Inherited candidate quantity; netlist/thermal review pending</x:v>
      </x:c>
      <x:c r="T42" s="11" t="str">
        <x:v>UNKNOWN</x:v>
      </x:c>
      <x:c r="U42" s="11" t="str">
        <x:v>背面电子件 / 正面TX RX</x:v>
      </x:c>
      <x:c r="V42" s="11" t="str">
        <x:v>HOLD</x:v>
      </x:c>
    </x:row>
    <x:row r="43" ht="64" customHeight="1">
      <x:c r="A43" s="11" t="str">
        <x:v>B-039</x:v>
      </x:c>
      <x:c r="B43" s="11" t="str">
        <x:v>上下独立电源线束</x:v>
      </x:c>
      <x:c r="C43" s="11" t="str">
        <x:v>DC5P5x2P5_CENTER_POSITIVE_LEAD_TBD</x:v>
      </x:c>
      <x:c r="D43" s="11" t="str">
        <x:v>UNKNOWN_VERIFY</x:v>
      </x:c>
      <x:c r="E43" s="13" t="n">
        <x:v>0</x:v>
      </x:c>
      <x:c r="F43" s="14" t="n">
        <x:v>0.1</x:v>
      </x:c>
      <x:c r="G43" s="13" t="n">
        <x:f>ROUNDUP(E43*(1+F43),0)</x:f>
        <x:v>0</x:v>
      </x:c>
      <x:c r="H43" s="11" t="str"/>
      <x:c r="I43" s="11" t="str">
        <x:v>外置; Pin1/EP原生库待核</x:v>
      </x:c>
      <x:c r="J43" s="11" t="str">
        <x:v>各板单独从外置供电装置接线</x:v>
      </x:c>
      <x:c r="K43" s="11" t="str">
        <x:v>UNKNOWN</x:v>
      </x:c>
      <x:c r="L43" s="11" t="str">
        <x:v>LOCAL12V / 5V / 3V3</x:v>
      </x:c>
      <x:c r="M43" s="11" t="str">
        <x:v>https://www.lcsc.com/custom-cable-assembly</x:v>
      </x:c>
      <x:c r="N43" s="11" t="str">
        <x:v>授权渠道待选；不默认替代</x:v>
      </x:c>
      <x:c r="O43" s="11" t="str">
        <x:v>UNKNOWN_VERIFY</x:v>
      </x:c>
      <x:c r="P43" s="11" t="str">
        <x:v>2026-10-11</x:v>
      </x:c>
      <x:c r="Q43" s="11" t="str">
        <x:v>INHERITED_CANDIDATE_REQUIRES_NATIVE_PIN_REVIEW</x:v>
      </x:c>
      <x:c r="R43" s="11" t="str">
        <x:v>User v5 scope; no procurement permission</x:v>
      </x:c>
      <x:c r="S43" s="11" t="str">
        <x:v>5A nominal path; wire/fuse/plug length/temperature verification HOLD</x:v>
      </x:c>
      <x:c r="T43" s="11" t="str">
        <x:v>UNKNOWN</x:v>
      </x:c>
      <x:c r="U43" s="11" t="str">
        <x:v>背面电子件 / 正面TX RX</x:v>
      </x:c>
      <x:c r="V43" s="11" t="str">
        <x:v>HOLD</x:v>
      </x:c>
    </x:row>
    <x:row r="44" ht="64" customHeight="1">
      <x:c r="A44" s="11" t="str">
        <x:v>B-040</x:v>
      </x:c>
      <x:c r="B44" s="11" t="str">
        <x:v>中央辅助电源线束</x:v>
      </x:c>
      <x:c r="C44" s="11" t="str">
        <x:v>XT30 2P线束</x:v>
      </x:c>
      <x:c r="D44" s="11" t="str">
        <x:v>UNKNOWN_VERIFY</x:v>
      </x:c>
      <x:c r="E44" s="13" t="n">
        <x:v>0</x:v>
      </x:c>
      <x:c r="F44" s="14" t="n">
        <x:v>0.1</x:v>
      </x:c>
      <x:c r="G44" s="13" t="n">
        <x:f>ROUNDUP(E44*(1+F44),0)</x:f>
        <x:v>0</x:v>
      </x:c>
      <x:c r="H44" s="11" t="str"/>
      <x:c r="I44" s="11" t="str">
        <x:v>外置; Pin1/EP原生库待核</x:v>
      </x:c>
      <x:c r="J44" s="11" t="str">
        <x:v>独立于两阵列的ADC/逻辑输入</x:v>
      </x:c>
      <x:c r="K44" s="11" t="str">
        <x:v>UNKNOWN</x:v>
      </x:c>
      <x:c r="L44" s="11" t="str">
        <x:v>LOCAL12V / 5V / 3V3</x:v>
      </x:c>
      <x:c r="M44" s="11" t="str">
        <x:v>https://www.lcsc.com/custom-cable-assembly</x:v>
      </x:c>
      <x:c r="N44" s="11" t="str">
        <x:v>授权渠道待选；不默认替代</x:v>
      </x:c>
      <x:c r="O44" s="11" t="str">
        <x:v>UNKNOWN_VERIFY</x:v>
      </x:c>
      <x:c r="P44" s="11" t="str">
        <x:v>2026-10-11</x:v>
      </x:c>
      <x:c r="Q44" s="11" t="str">
        <x:v>INHERITED_CANDIDATE_REQUIRES_NATIVE_PIN_REVIEW</x:v>
      </x:c>
      <x:c r="R44" s="11" t="str">
        <x:v>User v5 scope; no procurement permission</x:v>
      </x:c>
      <x:c r="S44" s="11" t="str">
        <x:v>Removed central external power path; central AX7020-only source</x:v>
      </x:c>
      <x:c r="T44" s="11" t="str">
        <x:v>UNKNOWN</x:v>
      </x:c>
      <x:c r="U44" s="11" t="str">
        <x:v>背面电子件 / 正面TX RX</x:v>
      </x:c>
      <x:c r="V44" s="11" t="str">
        <x:v>HOLD</x:v>
      </x:c>
    </x:row>
    <x:row r="45" ht="64" customHeight="1">
      <x:c r="A45" s="11" t="str">
        <x:v>B-041</x:v>
      </x:c>
      <x:c r="B45" s="11" t="str">
        <x:v>上/下数字线束</x:v>
      </x:c>
      <x:c r="C45" s="11" t="str">
        <x:v>50芯IDC定长≤20cm仅初选</x:v>
      </x:c>
      <x:c r="D45" s="11" t="str">
        <x:v>UNKNOWN_VERIFY</x:v>
      </x:c>
      <x:c r="E45" s="13" t="n">
        <x:v>0</x:v>
      </x:c>
      <x:c r="F45" s="14" t="n">
        <x:v>0.1</x:v>
      </x:c>
      <x:c r="G45" s="13" t="n">
        <x:f>ROUNDUP(E45*(1+F45),0)</x:f>
        <x:v>0</x:v>
      </x:c>
      <x:c r="H45" s="11" t="str"/>
      <x:c r="I45" s="11" t="str">
        <x:v>线束; Pin1/EP原生库待核</x:v>
      </x:c>
      <x:c r="J45" s="11" t="str">
        <x:v>每阵列1条；需屏蔽/回流/时序验证</x:v>
      </x:c>
      <x:c r="K45" s="11" t="str">
        <x:v>UNKNOWN</x:v>
      </x:c>
      <x:c r="L45" s="11" t="str">
        <x:v>LOCAL12V / 5V / 3V3</x:v>
      </x:c>
      <x:c r="M45" s="11" t="str">
        <x:v>https://www.lcsc.com/custom-cable-assembly</x:v>
      </x:c>
      <x:c r="N45" s="11" t="str">
        <x:v>授权渠道待选；不默认替代</x:v>
      </x:c>
      <x:c r="O45" s="11" t="str">
        <x:v>UNKNOWN_VERIFY</x:v>
      </x:c>
      <x:c r="P45" s="11" t="str">
        <x:v>2026-10-11</x:v>
      </x:c>
      <x:c r="Q45" s="11" t="str">
        <x:v>INHERITED_CANDIDATE_REQUIRES_NATIVE_PIN_REVIEW</x:v>
      </x:c>
      <x:c r="R45" s="11" t="str">
        <x:v>User v5 scope; no procurement permission</x:v>
      </x:c>
      <x:c r="S45" s="11" t="str">
        <x:v>SUPERSEDED_OR_OPTIONAL_DNP: see new H entries; not installed twice</x:v>
      </x:c>
      <x:c r="T45" s="11" t="str">
        <x:v>UNKNOWN</x:v>
      </x:c>
      <x:c r="U45" s="11" t="str">
        <x:v>背面电子件 / 正面TX RX</x:v>
      </x:c>
      <x:c r="V45" s="11" t="str">
        <x:v>HOLD</x:v>
      </x:c>
    </x:row>
    <x:row r="46" ht="64" customHeight="1">
      <x:c r="A46" s="11" t="str">
        <x:v>B-042</x:v>
      </x:c>
      <x:c r="B46" s="11" t="str">
        <x:v>上/下RX信号线束</x:v>
      </x:c>
      <x:c r="C46" s="11" t="str">
        <x:v>屏蔽4对模拟线（独立专用）</x:v>
      </x:c>
      <x:c r="D46" s="11" t="str">
        <x:v>UNKNOWN_VERIFY</x:v>
      </x:c>
      <x:c r="E46" s="13" t="n">
        <x:v>0</x:v>
      </x:c>
      <x:c r="F46" s="14" t="n">
        <x:v>0.1</x:v>
      </x:c>
      <x:c r="G46" s="13" t="n">
        <x:f>ROUNDUP(E46*(1+F46),0)</x:f>
        <x:v>0</x:v>
      </x:c>
      <x:c r="H46" s="11" t="str"/>
      <x:c r="I46" s="11" t="str">
        <x:v>线束; Pin1/EP原生库待核</x:v>
      </x:c>
      <x:c r="J46" s="11" t="str">
        <x:v>每阵列1条；建议远离TX与功率</x:v>
      </x:c>
      <x:c r="K46" s="11" t="str">
        <x:v>UNKNOWN</x:v>
      </x:c>
      <x:c r="L46" s="11" t="str">
        <x:v>LOCAL12V / 5V / 3V3</x:v>
      </x:c>
      <x:c r="M46" s="11" t="str">
        <x:v>https://www.lcsc.com/custom-cable-assembly</x:v>
      </x:c>
      <x:c r="N46" s="11" t="str">
        <x:v>授权渠道待选；不默认替代</x:v>
      </x:c>
      <x:c r="O46" s="11" t="str">
        <x:v>UNKNOWN_VERIFY</x:v>
      </x:c>
      <x:c r="P46" s="11" t="str">
        <x:v>2026-10-11</x:v>
      </x:c>
      <x:c r="Q46" s="11" t="str">
        <x:v>INHERITED_CANDIDATE_REQUIRES_NATIVE_PIN_REVIEW</x:v>
      </x:c>
      <x:c r="R46" s="11" t="str">
        <x:v>User v5 scope; no procurement permission</x:v>
      </x:c>
      <x:c r="S46" s="11" t="str">
        <x:v>SUPERSEDED_OR_OPTIONAL_DNP: see new H entries; not installed twice</x:v>
      </x:c>
      <x:c r="T46" s="11" t="str">
        <x:v>UNKNOWN</x:v>
      </x:c>
      <x:c r="U46" s="11" t="str">
        <x:v>背面电子件 / 正面TX RX</x:v>
      </x:c>
      <x:c r="V46" s="11" t="str">
        <x:v>HOLD</x:v>
      </x:c>
    </x:row>
    <x:row r="47" ht="64" customHeight="1">
      <x:c r="A47" s="11" t="str">
        <x:v>B-043</x:v>
      </x:c>
      <x:c r="B47" s="11" t="str">
        <x:v>AX7020到中央适配线束</x:v>
      </x:c>
      <x:c r="C47" s="11" t="str">
        <x:v>J10/J11对应双40针连接（实板决定）</x:v>
      </x:c>
      <x:c r="D47" s="11" t="str">
        <x:v>UNKNOWN_VERIFY</x:v>
      </x:c>
      <x:c r="E47" s="13" t="n">
        <x:v>0</x:v>
      </x:c>
      <x:c r="F47" s="14" t="n">
        <x:v>0.1</x:v>
      </x:c>
      <x:c r="G47" s="13" t="n">
        <x:f>ROUNDUP(E47*(1+F47),0)</x:f>
        <x:v>0</x:v>
      </x:c>
      <x:c r="H47" s="11" t="str"/>
      <x:c r="I47" s="11" t="str">
        <x:v>线束; Pin1/EP原生库待核</x:v>
      </x:c>
      <x:c r="J47" s="11" t="str">
        <x:v>连通PS/PL，无功率路径</x:v>
      </x:c>
      <x:c r="K47" s="11" t="str">
        <x:v>UNKNOWN</x:v>
      </x:c>
      <x:c r="L47" s="11" t="str">
        <x:v>LOCAL12V / 5V / 3V3</x:v>
      </x:c>
      <x:c r="M47" s="11" t="str">
        <x:v>https://www.alinx.com/public/upload/file/AX7020_UG.pdf</x:v>
      </x:c>
      <x:c r="N47" s="11" t="str">
        <x:v>授权渠道待选；不默认替代</x:v>
      </x:c>
      <x:c r="O47" s="11" t="str">
        <x:v>UNKNOWN_VERIFY</x:v>
      </x:c>
      <x:c r="P47" s="11" t="str">
        <x:v>2026-10-11</x:v>
      </x:c>
      <x:c r="Q47" s="11" t="str">
        <x:v>INHERITED_CANDIDATE_REQUIRES_NATIVE_PIN_REVIEW</x:v>
      </x:c>
      <x:c r="R47" s="11" t="str">
        <x:v>User v5 scope; no procurement permission</x:v>
      </x:c>
      <x:c r="S47" s="11" t="str">
        <x:v>Inherited candidate quantity; netlist/thermal review pending</x:v>
      </x:c>
      <x:c r="T47" s="11" t="str">
        <x:v>UNKNOWN</x:v>
      </x:c>
      <x:c r="U47" s="11" t="str">
        <x:v>背面电子件 / 正面TX RX</x:v>
      </x:c>
      <x:c r="V47" s="11" t="str">
        <x:v>HOLD</x:v>
      </x:c>
    </x:row>
    <x:row r="48" ht="64" customHeight="1">
      <x:c r="A48" s="11" t="str">
        <x:v>B-044</x:v>
      </x:c>
      <x:c r="B48" s="11" t="str">
        <x:v>双路限流可调直流电源</x:v>
      </x:c>
      <x:c r="C48" s="11" t="str">
        <x:v>12V 5A supply candidate (each)</x:v>
      </x:c>
      <x:c r="D48" s="11" t="str">
        <x:v>UNKNOWN_VERIFY</x:v>
      </x:c>
      <x:c r="E48" s="13" t="n">
        <x:v>0</x:v>
      </x:c>
      <x:c r="F48" s="14" t="n">
        <x:v>0.1</x:v>
      </x:c>
      <x:c r="G48" s="13" t="n">
        <x:f>ROUNDUP(E48*(1+F48),0)</x:f>
        <x:v>0</x:v>
      </x:c>
      <x:c r="H48" s="11" t="str"/>
      <x:c r="I48" s="11" t="str">
        <x:v>设备; Pin1/EP原生库待核</x:v>
      </x:c>
      <x:c r="J48" s="11" t="str">
        <x:v>两个阵列独立可断电、可调限流</x:v>
      </x:c>
      <x:c r="K48" s="11" t="str">
        <x:v>UNKNOWN</x:v>
      </x:c>
      <x:c r="L48" s="11" t="str">
        <x:v>LOCAL12V / 5V / 3V3</x:v>
      </x:c>
      <x:c r="M48" s="11" t="str">
        <x:v>https://www.meanwell.com/webapp/product/search.aspx?prod=GST120A</x:v>
      </x:c>
      <x:c r="N48" s="11" t="str">
        <x:v>授权渠道待选；不默认替代</x:v>
      </x:c>
      <x:c r="O48" s="11" t="str">
        <x:v>UNKNOWN_VERIFY</x:v>
      </x:c>
      <x:c r="P48" s="11" t="str">
        <x:v>2026-10-11</x:v>
      </x:c>
      <x:c r="Q48" s="11" t="str">
        <x:v>INHERITED_CANDIDATE_REQUIRES_NATIVE_PIN_REVIEW</x:v>
      </x:c>
      <x:c r="R48" s="11" t="str">
        <x:v>User v5 scope; no procurement permission</x:v>
      </x:c>
      <x:c r="S48" s="11" t="str">
        <x:v>SUPERSEDED_OR_OPTIONAL_DNP: see new H entries; not installed twice</x:v>
      </x:c>
      <x:c r="T48" s="11" t="str">
        <x:v>UNKNOWN</x:v>
      </x:c>
      <x:c r="U48" s="11" t="str">
        <x:v>背面电子件 / 正面TX RX</x:v>
      </x:c>
      <x:c r="V48" s="11" t="str">
        <x:v>HOLD</x:v>
      </x:c>
    </x:row>
    <x:row r="49" ht="64" customHeight="1">
      <x:c r="A49" s="11" t="str">
        <x:v>B-045</x:v>
      </x:c>
      <x:c r="B49" s="11" t="str">
        <x:v>AX7020官方匹配电源适配器</x:v>
      </x:c>
      <x:c r="C49" s="11" t="str">
        <x:v>ALINX规定DC 5V配件</x:v>
      </x:c>
      <x:c r="D49" s="11" t="str">
        <x:v>UNKNOWN_VERIFY</x:v>
      </x:c>
      <x:c r="E49" s="13" t="n">
        <x:v>0</x:v>
      </x:c>
      <x:c r="F49" s="14" t="n">
        <x:v>0.1</x:v>
      </x:c>
      <x:c r="G49" s="13" t="n">
        <x:f>ROUNDUP(E49*(1+F49),0)</x:f>
        <x:v>0</x:v>
      </x:c>
      <x:c r="H49" s="11" t="str"/>
      <x:c r="I49" s="11" t="str">
        <x:v>设备; Pin1/EP原生库待核</x:v>
      </x:c>
      <x:c r="J49" s="11" t="str">
        <x:v>主控保持其原厂供电，外部阵列不占板载供电</x:v>
      </x:c>
      <x:c r="K49" s="11" t="str">
        <x:v>UNKNOWN</x:v>
      </x:c>
      <x:c r="L49" s="11" t="str">
        <x:v>LOCAL12V / 5V / 3V3</x:v>
      </x:c>
      <x:c r="M49" s="11" t="str">
        <x:v>https://www.alinx.com/public/upload/file/AX7020_UG.pdf</x:v>
      </x:c>
      <x:c r="N49" s="11" t="str">
        <x:v>授权渠道待选；不默认替代</x:v>
      </x:c>
      <x:c r="O49" s="11" t="str">
        <x:v>UNKNOWN_VERIFY</x:v>
      </x:c>
      <x:c r="P49" s="11" t="str">
        <x:v>2026-10-11</x:v>
      </x:c>
      <x:c r="Q49" s="11" t="str">
        <x:v>INHERITED_CANDIDATE_REQUIRES_NATIVE_PIN_REVIEW</x:v>
      </x:c>
      <x:c r="R49" s="11" t="str">
        <x:v>User v5 scope; no procurement permission</x:v>
      </x:c>
      <x:c r="S49" s="11" t="str">
        <x:v>Inherited candidate quantity; netlist/thermal review pending</x:v>
      </x:c>
      <x:c r="T49" s="11" t="str">
        <x:v>UNKNOWN</x:v>
      </x:c>
      <x:c r="U49" s="11" t="str">
        <x:v>背面电子件 / 正面TX RX</x:v>
      </x:c>
      <x:c r="V49" s="11" t="str">
        <x:v>HOLD</x:v>
      </x:c>
    </x:row>
    <x:row r="50" ht="240" customHeight="1">
      <x:c r="A50" s="11" t="str">
        <x:v>B-046</x:v>
      </x:c>
      <x:c r="B50" s="11" t="str">
        <x:v>100nF去耦电容</x:v>
      </x:c>
      <x:c r="C50" s="11" t="str">
        <x:v>100nF 50V X7R</x:v>
      </x:c>
      <x:c r="D50" s="11" t="str">
        <x:v>UNKNOWN_VERIFY</x:v>
      </x:c>
      <x:c r="E50" s="13" t="n">
        <x:v>71</x:v>
      </x:c>
      <x:c r="F50" s="14" t="n">
        <x:v>0.1</x:v>
      </x:c>
      <x:c r="G50" s="13" t="n">
        <x:f>ROUNDUP(E50*(1+F50),0)</x:f>
        <x:v>79</x:v>
      </x:c>
      <x:c r="H50" s="11" t="str">
        <x:v>UP_B046_001, UP_B046_002, UP_B046_003, UP_B046_004, UP_B046_005, UP_B046_006, UP_B046_007, UP_B046_008, UP_B046_009, UP_B046_010, UP_B046_011, UP_B046_012, UP_B046_013, UP_B046_014, UP_B046_015, UP_B046_016, UP_B046_017, UP_B046_018, UP_B046_019, UP_B046_020, UP_B046_021, UP_B046_022, UP_B046_023, UP_B046_024, UP_B046_025, UP_B046_026, UP_B046_027, UP_B046_028, UP_B046_029, UP_B046_030, UP_B046_031, UP_B046_032, UP_B046_033, UP_B046_034, UP_B046_035, UP_B046_036, UP_B046_037, UP_B046_038, UP_B046_039, UP_B046_040, UP_B046_041, UP_B046_042, UP_B046_043, UP_B046_044, UP_B046_045, UP_B046_046, UP_B046_047, UP_B046_048, UP_B046_049, UP_B046_050, UP_B046_051, UP_B046_052, UP_B046_053, UP_B046_054, UP_B046_055, UP_B046_056, UP_B046_057, UP_B046_058, UP_B046_059, UP_B046_060, UP_B046_061, UP_B046_062, UP_B046_063, UP_B046_064, UP_B046_065, UP_B046_066, UP_B046_067, UP_B046_068, UP_B046_069, UP_B046_070, UP_B046_071</x:v>
      </x:c>
      <x:c r="I50" s="11" t="str">
        <x:v>0603; Pin1/EP原生库待核</x:v>
      </x:c>
      <x:c r="J50" s="11" t="str">
        <x:v>按原v5零件计数移植；新布板新增保护网路另计</x:v>
      </x:c>
      <x:c r="K50" s="11" t="str">
        <x:v>UNKNOWN</x:v>
      </x:c>
      <x:c r="L50" s="11" t="str">
        <x:v>LOCAL12V / 5V / 3V3</x:v>
      </x:c>
      <x:c r="M50" s="11" t="str">
        <x:v>https://github.com/loverlike1216/SonoField-FPGA/blob/main/v5/hardware/bom/BOM_MASTER.csv</x:v>
      </x:c>
      <x:c r="N50" s="11" t="str">
        <x:v>授权渠道待选；不默认替代</x:v>
      </x:c>
      <x:c r="O50" s="11" t="str">
        <x:v>UNKNOWN_VERIFY</x:v>
      </x:c>
      <x:c r="P50" s="11" t="str">
        <x:v>2026-10-11</x:v>
      </x:c>
      <x:c r="Q50" s="11" t="str">
        <x:v>INHERITED_CANDIDATE_REQUIRES_NATIVE_PIN_REVIEW</x:v>
      </x:c>
      <x:c r="R50" s="11" t="str">
        <x:v>User v5 scope; no procurement permission</x:v>
      </x:c>
      <x:c r="S50" s="11" t="str">
        <x:v>Inherited candidate quantity; netlist/thermal review pending</x:v>
      </x:c>
      <x:c r="T50" s="11" t="str">
        <x:v>UNKNOWN</x:v>
      </x:c>
      <x:c r="U50" s="11" t="str">
        <x:v>背面电子件 / 正面TX RX</x:v>
      </x:c>
      <x:c r="V50" s="11" t="str">
        <x:v>HOLD</x:v>
      </x:c>
    </x:row>
    <x:row r="51" ht="108" customHeight="1">
      <x:c r="A51" s="11" t="str">
        <x:v>B-047</x:v>
      </x:c>
      <x:c r="B51" s="11" t="str">
        <x:v>1µF驱动储能</x:v>
      </x:c>
      <x:c r="C51" s="11" t="str">
        <x:v>1µF 25V X7R</x:v>
      </x:c>
      <x:c r="D51" s="11" t="str">
        <x:v>UNKNOWN_VERIFY</x:v>
      </x:c>
      <x:c r="E51" s="13" t="n">
        <x:v>33</x:v>
      </x:c>
      <x:c r="F51" s="14" t="n">
        <x:v>0.1</x:v>
      </x:c>
      <x:c r="G51" s="13" t="n">
        <x:f>ROUNDUP(E51*(1+F51),0)</x:f>
        <x:v>37</x:v>
      </x:c>
      <x:c r="H51" s="11" t="str">
        <x:v>UP_B047_001, UP_B047_002, UP_B047_003, UP_B047_004, UP_B047_005, UP_B047_006, UP_B047_007, UP_B047_008, UP_B047_009, UP_B047_010, UP_B047_011, UP_B047_012, UP_B047_013, UP_B047_014, UP_B047_015, UP_B047_016, UP_B047_017, UP_B047_018, UP_B047_019, UP_B047_020, UP_B047_021, UP_B047_022, UP_B047_023, UP_B047_024, UP_B047_025, UP_B047_026, UP_B047_027, UP_B047_028, UP_B047_029, UP_B047_030, UP_B047_031, UP_B047_032, UP_B047_033</x:v>
      </x:c>
      <x:c r="I51" s="11" t="str">
        <x:v>0805; Pin1/EP原生库待核</x:v>
      </x:c>
      <x:c r="J51" s="11" t="str">
        <x:v>按原v5零件计数移植；新布板新增保护网路另计</x:v>
      </x:c>
      <x:c r="K51" s="11" t="str">
        <x:v>UNKNOWN</x:v>
      </x:c>
      <x:c r="L51" s="11" t="str">
        <x:v>LOCAL12V / 5V / 3V3</x:v>
      </x:c>
      <x:c r="M51" s="11" t="str">
        <x:v>https://github.com/loverlike1216/SonoField-FPGA/blob/main/v5/hardware/bom/BOM_MASTER.csv</x:v>
      </x:c>
      <x:c r="N51" s="11" t="str">
        <x:v>授权渠道待选；不默认替代</x:v>
      </x:c>
      <x:c r="O51" s="11" t="str">
        <x:v>UNKNOWN_VERIFY</x:v>
      </x:c>
      <x:c r="P51" s="11" t="str">
        <x:v>2026-10-11</x:v>
      </x:c>
      <x:c r="Q51" s="11" t="str">
        <x:v>INHERITED_CANDIDATE_REQUIRES_NATIVE_PIN_REVIEW</x:v>
      </x:c>
      <x:c r="R51" s="11" t="str">
        <x:v>User v5 scope; no procurement permission</x:v>
      </x:c>
      <x:c r="S51" s="11" t="str">
        <x:v>Inherited candidate quantity; netlist/thermal review pending</x:v>
      </x:c>
      <x:c r="T51" s="11" t="str">
        <x:v>UNKNOWN</x:v>
      </x:c>
      <x:c r="U51" s="11" t="str">
        <x:v>背面电子件 / 正面TX RX</x:v>
      </x:c>
      <x:c r="V51" s="11" t="str">
        <x:v>HOLD</x:v>
      </x:c>
    </x:row>
    <x:row r="52" ht="64" customHeight="1">
      <x:c r="A52" s="11" t="str">
        <x:v>B-048</x:v>
      </x:c>
      <x:c r="B52" s="11" t="str">
        <x:v>22µF局部储能</x:v>
      </x:c>
      <x:c r="C52" s="11" t="str">
        <x:v>22µF 25V X7R</x:v>
      </x:c>
      <x:c r="D52" s="11" t="str">
        <x:v>UNKNOWN_VERIFY</x:v>
      </x:c>
      <x:c r="E52" s="13" t="n">
        <x:v>12</x:v>
      </x:c>
      <x:c r="F52" s="14" t="n">
        <x:v>0.1</x:v>
      </x:c>
      <x:c r="G52" s="13" t="n">
        <x:f>ROUNDUP(E52*(1+F52),0)</x:f>
        <x:v>14</x:v>
      </x:c>
      <x:c r="H52" s="11" t="str">
        <x:v>UP_B048_001, UP_B048_002, UP_B048_003, UP_B048_004, UP_B048_005, UP_B048_006, UP_B048_007, UP_B048_008, UP_B048_009, UP_B048_010, UP_B048_011, UP_B048_012</x:v>
      </x:c>
      <x:c r="I52" s="11" t="str">
        <x:v>1210; Pin1/EP原生库待核</x:v>
      </x:c>
      <x:c r="J52" s="11" t="str">
        <x:v>按原v5零件计数移植；新布板新增保护网路另计</x:v>
      </x:c>
      <x:c r="K52" s="11" t="str">
        <x:v>UNKNOWN</x:v>
      </x:c>
      <x:c r="L52" s="11" t="str">
        <x:v>LOCAL12V / 5V / 3V3</x:v>
      </x:c>
      <x:c r="M52" s="11" t="str">
        <x:v>https://github.com/loverlike1216/SonoField-FPGA/blob/main/v5/hardware/bom/BOM_MASTER.csv</x:v>
      </x:c>
      <x:c r="N52" s="11" t="str">
        <x:v>授权渠道待选；不默认替代</x:v>
      </x:c>
      <x:c r="O52" s="11" t="str">
        <x:v>UNKNOWN_VERIFY</x:v>
      </x:c>
      <x:c r="P52" s="11" t="str">
        <x:v>2026-10-11</x:v>
      </x:c>
      <x:c r="Q52" s="11" t="str">
        <x:v>INHERITED_CANDIDATE_REQUIRES_NATIVE_PIN_REVIEW</x:v>
      </x:c>
      <x:c r="R52" s="11" t="str">
        <x:v>User v5 scope; no procurement permission</x:v>
      </x:c>
      <x:c r="S52" s="11" t="str">
        <x:v>Inherited candidate quantity; netlist/thermal review pending</x:v>
      </x:c>
      <x:c r="T52" s="11" t="str">
        <x:v>UNKNOWN</x:v>
      </x:c>
      <x:c r="U52" s="11" t="str">
        <x:v>背面电子件 / 正面TX RX</x:v>
      </x:c>
      <x:c r="V52" s="11" t="str">
        <x:v>HOLD</x:v>
      </x:c>
    </x:row>
    <x:row r="53" ht="64" customHeight="1">
      <x:c r="A53" s="11" t="str">
        <x:v>B-049</x:v>
      </x:c>
      <x:c r="B53" s="11" t="str">
        <x:v>10µF输入去耦</x:v>
      </x:c>
      <x:c r="C53" s="11" t="str">
        <x:v>10µF 25V X7R</x:v>
      </x:c>
      <x:c r="D53" s="11" t="str">
        <x:v>UNKNOWN_VERIFY</x:v>
      </x:c>
      <x:c r="E53" s="13" t="n">
        <x:v>3</x:v>
      </x:c>
      <x:c r="F53" s="14" t="n">
        <x:v>0.1</x:v>
      </x:c>
      <x:c r="G53" s="13" t="n">
        <x:f>ROUNDUP(E53*(1+F53),0)</x:f>
        <x:v>4</x:v>
      </x:c>
      <x:c r="H53" s="11" t="str">
        <x:v>UP_B049_001, UP_B049_002, UP_B049_003</x:v>
      </x:c>
      <x:c r="I53" s="11" t="str">
        <x:v>1206; Pin1/EP原生库待核</x:v>
      </x:c>
      <x:c r="J53" s="11" t="str">
        <x:v>按原v5零件计数移植；新布板新增保护网路另计</x:v>
      </x:c>
      <x:c r="K53" s="11" t="str">
        <x:v>UNKNOWN</x:v>
      </x:c>
      <x:c r="L53" s="11" t="str">
        <x:v>LOCAL12V / 5V / 3V3</x:v>
      </x:c>
      <x:c r="M53" s="11" t="str">
        <x:v>https://github.com/loverlike1216/SonoField-FPGA/blob/main/v5/hardware/bom/BOM_MASTER.csv</x:v>
      </x:c>
      <x:c r="N53" s="11" t="str">
        <x:v>授权渠道待选；不默认替代</x:v>
      </x:c>
      <x:c r="O53" s="11" t="str">
        <x:v>UNKNOWN_VERIFY</x:v>
      </x:c>
      <x:c r="P53" s="11" t="str">
        <x:v>2026-10-11</x:v>
      </x:c>
      <x:c r="Q53" s="11" t="str">
        <x:v>INHERITED_CANDIDATE_REQUIRES_NATIVE_PIN_REVIEW</x:v>
      </x:c>
      <x:c r="R53" s="11" t="str">
        <x:v>User v5 scope; no procurement permission</x:v>
      </x:c>
      <x:c r="S53" s="11" t="str">
        <x:v>Inherited candidate quantity; netlist/thermal review pending</x:v>
      </x:c>
      <x:c r="T53" s="11" t="str">
        <x:v>UNKNOWN</x:v>
      </x:c>
      <x:c r="U53" s="11" t="str">
        <x:v>背面电子件 / 正面TX RX</x:v>
      </x:c>
      <x:c r="V53" s="11" t="str">
        <x:v>HOLD</x:v>
      </x:c>
    </x:row>
    <x:row r="54" ht="64" customHeight="1">
      <x:c r="A54" s="11" t="str">
        <x:v>B-050</x:v>
      </x:c>
      <x:c r="B54" s="11" t="str">
        <x:v>2.2µF LDO稳定电容</x:v>
      </x:c>
      <x:c r="C54" s="11" t="str">
        <x:v>2.2µF 25V X7R</x:v>
      </x:c>
      <x:c r="D54" s="11" t="str">
        <x:v>UNKNOWN_VERIFY</x:v>
      </x:c>
      <x:c r="E54" s="13" t="n">
        <x:v>2</x:v>
      </x:c>
      <x:c r="F54" s="14" t="n">
        <x:v>0.1</x:v>
      </x:c>
      <x:c r="G54" s="13" t="n">
        <x:f>ROUNDUP(E54*(1+F54),0)</x:f>
        <x:v>3</x:v>
      </x:c>
      <x:c r="H54" s="11" t="str">
        <x:v>UP_B050_001, UP_B050_002</x:v>
      </x:c>
      <x:c r="I54" s="11" t="str">
        <x:v>0805; Pin1/EP原生库待核</x:v>
      </x:c>
      <x:c r="J54" s="11" t="str">
        <x:v>按原v5零件计数移植；新布板新增保护网路另计</x:v>
      </x:c>
      <x:c r="K54" s="11" t="str">
        <x:v>UNKNOWN</x:v>
      </x:c>
      <x:c r="L54" s="11" t="str">
        <x:v>LOCAL12V / 5V / 3V3</x:v>
      </x:c>
      <x:c r="M54" s="11" t="str">
        <x:v>https://github.com/loverlike1216/SonoField-FPGA/blob/main/v5/hardware/bom/BOM_MASTER.csv</x:v>
      </x:c>
      <x:c r="N54" s="11" t="str">
        <x:v>授权渠道待选；不默认替代</x:v>
      </x:c>
      <x:c r="O54" s="11" t="str">
        <x:v>UNKNOWN_VERIFY</x:v>
      </x:c>
      <x:c r="P54" s="11" t="str">
        <x:v>2026-10-11</x:v>
      </x:c>
      <x:c r="Q54" s="11" t="str">
        <x:v>INHERITED_CANDIDATE_REQUIRES_NATIVE_PIN_REVIEW</x:v>
      </x:c>
      <x:c r="R54" s="11" t="str">
        <x:v>User v5 scope; no procurement permission</x:v>
      </x:c>
      <x:c r="S54" s="11" t="str">
        <x:v>Inherited candidate quantity; netlist/thermal review pending</x:v>
      </x:c>
      <x:c r="T54" s="11" t="str">
        <x:v>UNKNOWN</x:v>
      </x:c>
      <x:c r="U54" s="11" t="str">
        <x:v>背面电子件 / 正面TX RX</x:v>
      </x:c>
      <x:c r="V54" s="11" t="str">
        <x:v>HOLD</x:v>
      </x:c>
    </x:row>
    <x:row r="55" ht="64" customHeight="1">
      <x:c r="A55" s="11" t="str">
        <x:v>B-051</x:v>
      </x:c>
      <x:c r="B55" s="11" t="str">
        <x:v>470µF低ESR主储能</x:v>
      </x:c>
      <x:c r="C55" s="11" t="str">
        <x:v>470µF 35V</x:v>
      </x:c>
      <x:c r="D55" s="11" t="str">
        <x:v>UNKNOWN_VERIFY</x:v>
      </x:c>
      <x:c r="E55" s="13" t="n">
        <x:v>1</x:v>
      </x:c>
      <x:c r="F55" s="14" t="n">
        <x:v>0.1</x:v>
      </x:c>
      <x:c r="G55" s="13" t="n">
        <x:f>ROUNDUP(E55*(1+F55),0)</x:f>
        <x:v>2</x:v>
      </x:c>
      <x:c r="H55" s="11" t="str">
        <x:v>UP_B051_001</x:v>
      </x:c>
      <x:c r="I55" s="11" t="str">
        <x:v>THT; Pin1/EP原生库待核</x:v>
      </x:c>
      <x:c r="J55" s="11" t="str">
        <x:v>按原v5零件计数移植；新布板新增保护网路另计</x:v>
      </x:c>
      <x:c r="K55" s="11" t="str">
        <x:v>UNKNOWN</x:v>
      </x:c>
      <x:c r="L55" s="11" t="str">
        <x:v>LOCAL12V / 5V / 3V3</x:v>
      </x:c>
      <x:c r="M55" s="11" t="str">
        <x:v>https://github.com/loverlike1216/SonoField-FPGA/blob/main/v5/hardware/bom/BOM_MASTER.csv</x:v>
      </x:c>
      <x:c r="N55" s="11" t="str">
        <x:v>授权渠道待选；不默认替代</x:v>
      </x:c>
      <x:c r="O55" s="11" t="str">
        <x:v>UNKNOWN_VERIFY</x:v>
      </x:c>
      <x:c r="P55" s="11" t="str">
        <x:v>2026-10-11</x:v>
      </x:c>
      <x:c r="Q55" s="11" t="str">
        <x:v>INHERITED_CANDIDATE_REQUIRES_NATIVE_PIN_REVIEW</x:v>
      </x:c>
      <x:c r="R55" s="11" t="str">
        <x:v>User v5 scope; no procurement permission</x:v>
      </x:c>
      <x:c r="S55" s="11" t="str">
        <x:v>No central12V supply/converter or5V-to5V LDO headroom; central header budget HOLD</x:v>
      </x:c>
      <x:c r="T55" s="11" t="str">
        <x:v>UNKNOWN</x:v>
      </x:c>
      <x:c r="U55" s="11" t="str">
        <x:v>背面电子件 / 正面TX RX</x:v>
      </x:c>
      <x:c r="V55" s="11" t="str">
        <x:v>HOLD</x:v>
      </x:c>
    </x:row>
    <x:row r="56" ht="64" customHeight="1">
      <x:c r="A56" s="11" t="str">
        <x:v>B-052</x:v>
      </x:c>
      <x:c r="B56" s="11" t="str">
        <x:v>10nF RX耦合</x:v>
      </x:c>
      <x:c r="C56" s="11" t="str">
        <x:v>10nF 50V C0G</x:v>
      </x:c>
      <x:c r="D56" s="11" t="str">
        <x:v>UNKNOWN_VERIFY</x:v>
      </x:c>
      <x:c r="E56" s="13" t="n">
        <x:v>4</x:v>
      </x:c>
      <x:c r="F56" s="14" t="n">
        <x:v>0.1</x:v>
      </x:c>
      <x:c r="G56" s="13" t="n">
        <x:f>ROUNDUP(E56*(1+F56),0)</x:f>
        <x:v>5</x:v>
      </x:c>
      <x:c r="H56" s="11" t="str">
        <x:v>UP_B052_001, UP_B052_002, UP_B052_003, UP_B052_004</x:v>
      </x:c>
      <x:c r="I56" s="11" t="str">
        <x:v>0603; Pin1/EP原生库待核</x:v>
      </x:c>
      <x:c r="J56" s="11" t="str">
        <x:v>按原v5零件计数移植；新布板新增保护网路另计</x:v>
      </x:c>
      <x:c r="K56" s="11" t="str">
        <x:v>UNKNOWN</x:v>
      </x:c>
      <x:c r="L56" s="11" t="str">
        <x:v>LOCAL12V / 5V / 3V3</x:v>
      </x:c>
      <x:c r="M56" s="11" t="str">
        <x:v>https://github.com/loverlike1216/SonoField-FPGA/blob/main/v5/hardware/bom/BOM_MASTER.csv</x:v>
      </x:c>
      <x:c r="N56" s="11" t="str">
        <x:v>授权渠道待选；不默认替代</x:v>
      </x:c>
      <x:c r="O56" s="11" t="str">
        <x:v>UNKNOWN_VERIFY</x:v>
      </x:c>
      <x:c r="P56" s="11" t="str">
        <x:v>2026-10-11</x:v>
      </x:c>
      <x:c r="Q56" s="11" t="str">
        <x:v>INHERITED_CANDIDATE_REQUIRES_NATIVE_PIN_REVIEW</x:v>
      </x:c>
      <x:c r="R56" s="11" t="str">
        <x:v>User v5 scope; no procurement permission</x:v>
      </x:c>
      <x:c r="S56" s="11" t="str">
        <x:v>Inherited candidate quantity; netlist/thermal review pending</x:v>
      </x:c>
      <x:c r="T56" s="11" t="str">
        <x:v>UNKNOWN</x:v>
      </x:c>
      <x:c r="U56" s="11" t="str">
        <x:v>背面电子件 / 正面TX RX</x:v>
      </x:c>
      <x:c r="V56" s="11" t="str">
        <x:v>HOLD</x:v>
      </x:c>
    </x:row>
    <x:row r="57" ht="64" customHeight="1">
      <x:c r="A57" s="11" t="str">
        <x:v>B-053</x:v>
      </x:c>
      <x:c r="B57" s="11" t="str">
        <x:v>1nF RX噪声过滤</x:v>
      </x:c>
      <x:c r="C57" s="11" t="str">
        <x:v>1nF 50V C0G</x:v>
      </x:c>
      <x:c r="D57" s="11" t="str">
        <x:v>UNKNOWN_VERIFY</x:v>
      </x:c>
      <x:c r="E57" s="13" t="n">
        <x:v>4</x:v>
      </x:c>
      <x:c r="F57" s="14" t="n">
        <x:v>0.1</x:v>
      </x:c>
      <x:c r="G57" s="13" t="n">
        <x:f>ROUNDUP(E57*(1+F57),0)</x:f>
        <x:v>5</x:v>
      </x:c>
      <x:c r="H57" s="11" t="str">
        <x:v>UP_B053_001, UP_B053_002, UP_B053_003, UP_B053_004</x:v>
      </x:c>
      <x:c r="I57" s="11" t="str">
        <x:v>0603; Pin1/EP原生库待核</x:v>
      </x:c>
      <x:c r="J57" s="11" t="str">
        <x:v>按原v5零件计数移植；新布板新增保护网路另计</x:v>
      </x:c>
      <x:c r="K57" s="11" t="str">
        <x:v>UNKNOWN</x:v>
      </x:c>
      <x:c r="L57" s="11" t="str">
        <x:v>LOCAL12V / 5V / 3V3</x:v>
      </x:c>
      <x:c r="M57" s="11" t="str">
        <x:v>https://github.com/loverlike1216/SonoField-FPGA/blob/main/v5/hardware/bom/BOM_MASTER.csv</x:v>
      </x:c>
      <x:c r="N57" s="11" t="str">
        <x:v>授权渠道待选；不默认替代</x:v>
      </x:c>
      <x:c r="O57" s="11" t="str">
        <x:v>UNKNOWN_VERIFY</x:v>
      </x:c>
      <x:c r="P57" s="11" t="str">
        <x:v>2026-10-11</x:v>
      </x:c>
      <x:c r="Q57" s="11" t="str">
        <x:v>INHERITED_CANDIDATE_REQUIRES_NATIVE_PIN_REVIEW</x:v>
      </x:c>
      <x:c r="R57" s="11" t="str">
        <x:v>User v5 scope; no procurement permission</x:v>
      </x:c>
      <x:c r="S57" s="11" t="str">
        <x:v>Inherited candidate quantity; netlist/thermal review pending</x:v>
      </x:c>
      <x:c r="T57" s="11" t="str">
        <x:v>UNKNOWN</x:v>
      </x:c>
      <x:c r="U57" s="11" t="str">
        <x:v>背面电子件 / 正面TX RX</x:v>
      </x:c>
      <x:c r="V57" s="11" t="str">
        <x:v>HOLD</x:v>
      </x:c>
    </x:row>
    <x:row r="58" ht="300" customHeight="1">
      <x:c r="A58" s="11" t="str">
        <x:v>B-054</x:v>
      </x:c>
      <x:c r="B58" s="11" t="str">
        <x:v>100kΩ上拉/下拉</x:v>
      </x:c>
      <x:c r="C58" s="11" t="str">
        <x:v>100kΩ 1%</x:v>
      </x:c>
      <x:c r="D58" s="11" t="str">
        <x:v>UNKNOWN_VERIFY</x:v>
      </x:c>
      <x:c r="E58" s="13" t="n">
        <x:v>89</x:v>
      </x:c>
      <x:c r="F58" s="14" t="n">
        <x:v>0.1</x:v>
      </x:c>
      <x:c r="G58" s="13" t="n">
        <x:f>ROUNDUP(E58*(1+F58),0)</x:f>
        <x:v>98</x:v>
      </x:c>
      <x:c r="H58" s="11" t="str">
        <x:v>UP_B054_001, UP_B054_002, UP_B054_003, UP_B054_004, UP_B054_005, UP_B054_006, UP_B054_007, UP_B054_008, UP_B054_009, UP_B054_010, UP_B054_011, UP_B054_012, UP_B054_013, UP_B054_014, UP_B054_015, UP_B054_016, UP_B054_017, UP_B054_018, UP_B054_019, UP_B054_020, UP_B054_021, UP_B054_022, UP_B054_023, UP_B054_024, UP_B054_025, UP_B054_026, UP_B054_027, UP_B054_028, UP_B054_029, UP_B054_030, UP_B054_031, UP_B054_032, UP_B054_033, UP_B054_034, UP_B054_035, UP_B054_036, UP_B054_037, UP_B054_038, UP_B054_039, UP_B054_040, UP_B054_041, UP_B054_042, UP_B054_043, UP_B054_044, UP_B054_045, UP_B054_046, UP_B054_047, UP_B054_048, UP_B054_049, UP_B054_050, UP_B054_051, UP_B054_052, UP_B054_053, UP_B054_054, UP_B054_055, UP_B054_056, UP_B054_057, UP_B054_058, UP_B054_059, UP_B054_060, UP_B054_061, UP_B054_062, UP_B054_063, UP_B054_064, UP_B054_065, UP_B054_066, UP_B054_067, UP_B054_068, UP_B054_069, UP_B054_070, UP_B054_071, UP_B054_072, UP_B054_073, UP_B054_074, UP_B054_075, UP_B054_076, UP_B054_077, UP_B054_078, UP_B054_079, UP_B054_080, UP_B054_081, UP_B054_082, UP_B054_083, UP_B054_084, UP_B054_085, UP_B054_086, UP_B054_087, UP_B054_088, UP_B054_089</x:v>
      </x:c>
      <x:c r="I58" s="11" t="str">
        <x:v>0603; Pin1/EP原生库待核</x:v>
      </x:c>
      <x:c r="J58" s="11" t="str">
        <x:v>按原v5零件计数移植；新布板新增保护网路另计</x:v>
      </x:c>
      <x:c r="K58" s="11" t="str">
        <x:v>UNKNOWN</x:v>
      </x:c>
      <x:c r="L58" s="11" t="str">
        <x:v>LOCAL12V / 5V / 3V3</x:v>
      </x:c>
      <x:c r="M58" s="11" t="str">
        <x:v>https://github.com/loverlike1216/SonoField-FPGA/blob/main/v5/hardware/bom/BOM_MASTER.csv</x:v>
      </x:c>
      <x:c r="N58" s="11" t="str">
        <x:v>授权渠道待选；不默认替代</x:v>
      </x:c>
      <x:c r="O58" s="11" t="str">
        <x:v>UNKNOWN_VERIFY</x:v>
      </x:c>
      <x:c r="P58" s="11" t="str">
        <x:v>2026-10-11</x:v>
      </x:c>
      <x:c r="Q58" s="11" t="str">
        <x:v>INHERITED_CANDIDATE_REQUIRES_NATIVE_PIN_REVIEW</x:v>
      </x:c>
      <x:c r="R58" s="11" t="str">
        <x:v>User v5 scope; no procurement permission</x:v>
      </x:c>
      <x:c r="S58" s="11" t="str">
        <x:v>Inherited candidate quantity; netlist/thermal review pending</x:v>
      </x:c>
      <x:c r="T58" s="11" t="str">
        <x:v>UNKNOWN</x:v>
      </x:c>
      <x:c r="U58" s="11" t="str">
        <x:v>背面电子件 / 正面TX RX</x:v>
      </x:c>
      <x:c r="V58" s="11" t="str">
        <x:v>HOLD</x:v>
      </x:c>
    </x:row>
    <x:row r="59" ht="64" customHeight="1">
      <x:c r="A59" s="11" t="str">
        <x:v>B-055</x:v>
      </x:c>
      <x:c r="B59" s="11" t="str">
        <x:v>10kΩ上拉/下拉</x:v>
      </x:c>
      <x:c r="C59" s="11" t="str">
        <x:v>10kΩ 1%</x:v>
      </x:c>
      <x:c r="D59" s="11" t="str">
        <x:v>UNKNOWN_VERIFY</x:v>
      </x:c>
      <x:c r="E59" s="13" t="n">
        <x:v>3</x:v>
      </x:c>
      <x:c r="F59" s="14" t="n">
        <x:v>0.1</x:v>
      </x:c>
      <x:c r="G59" s="13" t="n">
        <x:f>ROUNDUP(E59*(1+F59),0)</x:f>
        <x:v>4</x:v>
      </x:c>
      <x:c r="H59" s="11" t="str">
        <x:v>UP_B055_001, UP_B055_002, UP_B055_003</x:v>
      </x:c>
      <x:c r="I59" s="11" t="str">
        <x:v>0603; Pin1/EP原生库待核</x:v>
      </x:c>
      <x:c r="J59" s="11" t="str">
        <x:v>按原v5零件计数移植；新布板新增保护网路另计</x:v>
      </x:c>
      <x:c r="K59" s="11" t="str">
        <x:v>UNKNOWN</x:v>
      </x:c>
      <x:c r="L59" s="11" t="str">
        <x:v>LOCAL12V / 5V / 3V3</x:v>
      </x:c>
      <x:c r="M59" s="11" t="str">
        <x:v>https://github.com/loverlike1216/SonoField-FPGA/blob/main/v5/hardware/bom/BOM_MASTER.csv</x:v>
      </x:c>
      <x:c r="N59" s="11" t="str">
        <x:v>授权渠道待选；不默认替代</x:v>
      </x:c>
      <x:c r="O59" s="11" t="str">
        <x:v>UNKNOWN_VERIFY</x:v>
      </x:c>
      <x:c r="P59" s="11" t="str">
        <x:v>2026-10-11</x:v>
      </x:c>
      <x:c r="Q59" s="11" t="str">
        <x:v>INHERITED_CANDIDATE_REQUIRES_NATIVE_PIN_REVIEW</x:v>
      </x:c>
      <x:c r="R59" s="11" t="str">
        <x:v>User v5 scope; no procurement permission</x:v>
      </x:c>
      <x:c r="S59" s="11" t="str">
        <x:v>Inherited candidate quantity; netlist/thermal review pending</x:v>
      </x:c>
      <x:c r="T59" s="11" t="str">
        <x:v>UNKNOWN</x:v>
      </x:c>
      <x:c r="U59" s="11" t="str">
        <x:v>背面电子件 / 正面TX RX</x:v>
      </x:c>
      <x:c r="V59" s="11" t="str">
        <x:v>HOLD</x:v>
      </x:c>
    </x:row>
    <x:row r="60" ht="64" customHeight="1">
      <x:c r="A60" s="11" t="str">
        <x:v>B-056</x:v>
      </x:c>
      <x:c r="B60" s="11" t="str">
        <x:v>4.7kΩ I²C上拉</x:v>
      </x:c>
      <x:c r="C60" s="11" t="str">
        <x:v>4.7kΩ 1%</x:v>
      </x:c>
      <x:c r="D60" s="11" t="str">
        <x:v>UNKNOWN_VERIFY</x:v>
      </x:c>
      <x:c r="E60" s="13" t="n">
        <x:v>2</x:v>
      </x:c>
      <x:c r="F60" s="14" t="n">
        <x:v>0.1</x:v>
      </x:c>
      <x:c r="G60" s="13" t="n">
        <x:f>ROUNDUP(E60*(1+F60),0)</x:f>
        <x:v>3</x:v>
      </x:c>
      <x:c r="H60" s="11" t="str">
        <x:v>UP_B056_001, UP_B056_002</x:v>
      </x:c>
      <x:c r="I60" s="11" t="str">
        <x:v>0603; Pin1/EP原生库待核</x:v>
      </x:c>
      <x:c r="J60" s="11" t="str">
        <x:v>按原v5零件计数移植；新布板新增保护网路另计</x:v>
      </x:c>
      <x:c r="K60" s="11" t="str">
        <x:v>UNKNOWN</x:v>
      </x:c>
      <x:c r="L60" s="11" t="str">
        <x:v>LOCAL12V / 5V / 3V3</x:v>
      </x:c>
      <x:c r="M60" s="11" t="str">
        <x:v>https://github.com/loverlike1216/SonoField-FPGA/blob/main/v5/hardware/bom/BOM_MASTER.csv</x:v>
      </x:c>
      <x:c r="N60" s="11" t="str">
        <x:v>授权渠道待选；不默认替代</x:v>
      </x:c>
      <x:c r="O60" s="11" t="str">
        <x:v>UNKNOWN_VERIFY</x:v>
      </x:c>
      <x:c r="P60" s="11" t="str">
        <x:v>2026-10-11</x:v>
      </x:c>
      <x:c r="Q60" s="11" t="str">
        <x:v>INHERITED_CANDIDATE_REQUIRES_NATIVE_PIN_REVIEW</x:v>
      </x:c>
      <x:c r="R60" s="11" t="str">
        <x:v>User v5 scope; no procurement permission</x:v>
      </x:c>
      <x:c r="S60" s="11" t="str">
        <x:v>Inherited candidate quantity; netlist/thermal review pending</x:v>
      </x:c>
      <x:c r="T60" s="11" t="str">
        <x:v>UNKNOWN</x:v>
      </x:c>
      <x:c r="U60" s="11" t="str">
        <x:v>背面电子件 / 正面TX RX</x:v>
      </x:c>
      <x:c r="V60" s="11" t="str">
        <x:v>HOLD</x:v>
      </x:c>
    </x:row>
    <x:row r="61" ht="64" customHeight="1">
      <x:c r="A61" s="11" t="str">
        <x:v>B-057</x:v>
      </x:c>
      <x:c r="B61" s="11" t="str">
        <x:v>1kΩ RX串联</x:v>
      </x:c>
      <x:c r="C61" s="11" t="str">
        <x:v>1kΩ 1%</x:v>
      </x:c>
      <x:c r="D61" s="11" t="str">
        <x:v>UNKNOWN_VERIFY</x:v>
      </x:c>
      <x:c r="E61" s="13" t="n">
        <x:v>8</x:v>
      </x:c>
      <x:c r="F61" s="14" t="n">
        <x:v>0.1</x:v>
      </x:c>
      <x:c r="G61" s="13" t="n">
        <x:f>ROUNDUP(E61*(1+F61),0)</x:f>
        <x:v>9</x:v>
      </x:c>
      <x:c r="H61" s="11" t="str">
        <x:v>UP_B057_001, UP_B057_002, UP_B057_003, UP_B057_004, UP_B057_005, UP_B057_006, UP_B057_007, UP_B057_008</x:v>
      </x:c>
      <x:c r="I61" s="11" t="str">
        <x:v>0603; Pin1/EP原生库待核</x:v>
      </x:c>
      <x:c r="J61" s="11" t="str">
        <x:v>按原v5零件计数移植；新布板新增保护网路另计</x:v>
      </x:c>
      <x:c r="K61" s="11" t="str">
        <x:v>UNKNOWN</x:v>
      </x:c>
      <x:c r="L61" s="11" t="str">
        <x:v>LOCAL12V / 5V / 3V3</x:v>
      </x:c>
      <x:c r="M61" s="11" t="str">
        <x:v>https://github.com/loverlike1216/SonoField-FPGA/blob/main/v5/hardware/bom/BOM_MASTER.csv</x:v>
      </x:c>
      <x:c r="N61" s="11" t="str">
        <x:v>授权渠道待选；不默认替代</x:v>
      </x:c>
      <x:c r="O61" s="11" t="str">
        <x:v>UNKNOWN_VERIFY</x:v>
      </x:c>
      <x:c r="P61" s="11" t="str">
        <x:v>2026-10-11</x:v>
      </x:c>
      <x:c r="Q61" s="11" t="str">
        <x:v>INHERITED_CANDIDATE_REQUIRES_NATIVE_PIN_REVIEW</x:v>
      </x:c>
      <x:c r="R61" s="11" t="str">
        <x:v>User v5 scope; no procurement permission</x:v>
      </x:c>
      <x:c r="S61" s="11" t="str">
        <x:v>Inherited candidate quantity; netlist/thermal review pending</x:v>
      </x:c>
      <x:c r="T61" s="11" t="str">
        <x:v>UNKNOWN</x:v>
      </x:c>
      <x:c r="U61" s="11" t="str">
        <x:v>背面电子件 / 正面TX RX</x:v>
      </x:c>
      <x:c r="V61" s="11" t="str">
        <x:v>HOLD</x:v>
      </x:c>
    </x:row>
    <x:row r="62" ht="64" customHeight="1">
      <x:c r="A62" s="11" t="str">
        <x:v>B-058</x:v>
      </x:c>
      <x:c r="B62" s="11" t="str">
        <x:v>47Ω模拟阻尼</x:v>
      </x:c>
      <x:c r="C62" s="11" t="str">
        <x:v>47Ω 1%</x:v>
      </x:c>
      <x:c r="D62" s="11" t="str">
        <x:v>UNKNOWN_VERIFY</x:v>
      </x:c>
      <x:c r="E62" s="13" t="n">
        <x:v>4</x:v>
      </x:c>
      <x:c r="F62" s="14" t="n">
        <x:v>0.1</x:v>
      </x:c>
      <x:c r="G62" s="13" t="n">
        <x:f>ROUNDUP(E62*(1+F62),0)</x:f>
        <x:v>5</x:v>
      </x:c>
      <x:c r="H62" s="11" t="str">
        <x:v>UP_B058_001, UP_B058_002, UP_B058_003, UP_B058_004</x:v>
      </x:c>
      <x:c r="I62" s="11" t="str">
        <x:v>0603; Pin1/EP原生库待核</x:v>
      </x:c>
      <x:c r="J62" s="11" t="str">
        <x:v>按原v5零件计数移植；新布板新增保护网路另计</x:v>
      </x:c>
      <x:c r="K62" s="11" t="str">
        <x:v>UNKNOWN</x:v>
      </x:c>
      <x:c r="L62" s="11" t="str">
        <x:v>LOCAL12V / 5V / 3V3</x:v>
      </x:c>
      <x:c r="M62" s="11" t="str">
        <x:v>https://github.com/loverlike1216/SonoField-FPGA/blob/main/v5/hardware/bom/BOM_MASTER.csv</x:v>
      </x:c>
      <x:c r="N62" s="11" t="str">
        <x:v>授权渠道待选；不默认替代</x:v>
      </x:c>
      <x:c r="O62" s="11" t="str">
        <x:v>UNKNOWN_VERIFY</x:v>
      </x:c>
      <x:c r="P62" s="11" t="str">
        <x:v>2026-10-11</x:v>
      </x:c>
      <x:c r="Q62" s="11" t="str">
        <x:v>INHERITED_CANDIDATE_REQUIRES_NATIVE_PIN_REVIEW</x:v>
      </x:c>
      <x:c r="R62" s="11" t="str">
        <x:v>User v5 scope; no procurement permission</x:v>
      </x:c>
      <x:c r="S62" s="11" t="str">
        <x:v>Inherited candidate quantity; netlist/thermal review pending</x:v>
      </x:c>
      <x:c r="T62" s="11" t="str">
        <x:v>UNKNOWN</x:v>
      </x:c>
      <x:c r="U62" s="11" t="str">
        <x:v>背面电子件 / 正面TX RX</x:v>
      </x:c>
      <x:c r="V62" s="11" t="str">
        <x:v>HOLD</x:v>
      </x:c>
    </x:row>
    <x:row r="63" ht="64" customHeight="1">
      <x:c r="A63" s="11" t="str">
        <x:v>B-059</x:v>
      </x:c>
      <x:c r="B63" s="11" t="str">
        <x:v>33Ω高速阻尼</x:v>
      </x:c>
      <x:c r="C63" s="11" t="str">
        <x:v>33Ω 1%</x:v>
      </x:c>
      <x:c r="D63" s="11" t="str">
        <x:v>UNKNOWN_VERIFY</x:v>
      </x:c>
      <x:c r="E63" s="13" t="n">
        <x:v>8</x:v>
      </x:c>
      <x:c r="F63" s="14" t="n">
        <x:v>0.1</x:v>
      </x:c>
      <x:c r="G63" s="13" t="n">
        <x:f>ROUNDUP(E63*(1+F63),0)</x:f>
        <x:v>9</x:v>
      </x:c>
      <x:c r="H63" s="11" t="str">
        <x:v>UP_B059_001, UP_B059_002, UP_B059_003, UP_B059_004, UP_B059_005, UP_B059_006, UP_B059_007, UP_B059_008</x:v>
      </x:c>
      <x:c r="I63" s="11" t="str">
        <x:v>0603; Pin1/EP原生库待核</x:v>
      </x:c>
      <x:c r="J63" s="11" t="str">
        <x:v>按原v5零件计数移植；新布板新增保护网路另计</x:v>
      </x:c>
      <x:c r="K63" s="11" t="str">
        <x:v>UNKNOWN</x:v>
      </x:c>
      <x:c r="L63" s="11" t="str">
        <x:v>LOCAL12V / 5V / 3V3</x:v>
      </x:c>
      <x:c r="M63" s="11" t="str">
        <x:v>https://github.com/loverlike1216/SonoField-FPGA/blob/main/v5/hardware/bom/BOM_MASTER.csv</x:v>
      </x:c>
      <x:c r="N63" s="11" t="str">
        <x:v>授权渠道待选；不默认替代</x:v>
      </x:c>
      <x:c r="O63" s="11" t="str">
        <x:v>UNKNOWN_VERIFY</x:v>
      </x:c>
      <x:c r="P63" s="11" t="str">
        <x:v>2026-10-11</x:v>
      </x:c>
      <x:c r="Q63" s="11" t="str">
        <x:v>INHERITED_CANDIDATE_REQUIRES_NATIVE_PIN_REVIEW</x:v>
      </x:c>
      <x:c r="R63" s="11" t="str">
        <x:v>User v5 scope; no procurement permission</x:v>
      </x:c>
      <x:c r="S63" s="11" t="str">
        <x:v>Inherited candidate quantity; netlist/thermal review pending</x:v>
      </x:c>
      <x:c r="T63" s="11" t="str">
        <x:v>UNKNOWN</x:v>
      </x:c>
      <x:c r="U63" s="11" t="str">
        <x:v>背面电子件 / 正面TX RX</x:v>
      </x:c>
      <x:c r="V63" s="11" t="str">
        <x:v>HOLD</x:v>
      </x:c>
    </x:row>
    <x:row r="64" ht="64" customHeight="1">
      <x:c r="A64" s="11" t="str">
        <x:v>B-060</x:v>
      </x:c>
      <x:c r="B64" s="11" t="str">
        <x:v>10Ω监测滤波</x:v>
      </x:c>
      <x:c r="C64" s="11" t="str">
        <x:v>10Ω 1%</x:v>
      </x:c>
      <x:c r="D64" s="11" t="str">
        <x:v>UNKNOWN_VERIFY</x:v>
      </x:c>
      <x:c r="E64" s="13" t="n">
        <x:v>2</x:v>
      </x:c>
      <x:c r="F64" s="14" t="n">
        <x:v>0.1</x:v>
      </x:c>
      <x:c r="G64" s="13" t="n">
        <x:f>ROUNDUP(E64*(1+F64),0)</x:f>
        <x:v>3</x:v>
      </x:c>
      <x:c r="H64" s="11" t="str">
        <x:v>UP_B060_001, UP_B060_002</x:v>
      </x:c>
      <x:c r="I64" s="11" t="str">
        <x:v>0603; Pin1/EP原生库待核</x:v>
      </x:c>
      <x:c r="J64" s="11" t="str">
        <x:v>按原v5零件计数移植；新布板新增保护网路另计</x:v>
      </x:c>
      <x:c r="K64" s="11" t="str">
        <x:v>UNKNOWN</x:v>
      </x:c>
      <x:c r="L64" s="11" t="str">
        <x:v>LOCAL12V / 5V / 3V3</x:v>
      </x:c>
      <x:c r="M64" s="11" t="str">
        <x:v>https://github.com/loverlike1216/SonoField-FPGA/blob/main/v5/hardware/bom/BOM_MASTER.csv</x:v>
      </x:c>
      <x:c r="N64" s="11" t="str">
        <x:v>授权渠道待选；不默认替代</x:v>
      </x:c>
      <x:c r="O64" s="11" t="str">
        <x:v>UNKNOWN_VERIFY</x:v>
      </x:c>
      <x:c r="P64" s="11" t="str">
        <x:v>2026-10-11</x:v>
      </x:c>
      <x:c r="Q64" s="11" t="str">
        <x:v>INHERITED_CANDIDATE_REQUIRES_NATIVE_PIN_REVIEW</x:v>
      </x:c>
      <x:c r="R64" s="11" t="str">
        <x:v>User v5 scope; no procurement permission</x:v>
      </x:c>
      <x:c r="S64" s="11" t="str">
        <x:v>Inherited candidate quantity; netlist/thermal review pending</x:v>
      </x:c>
      <x:c r="T64" s="11" t="str">
        <x:v>UNKNOWN</x:v>
      </x:c>
      <x:c r="U64" s="11" t="str">
        <x:v>背面电子件 / 正面TX RX</x:v>
      </x:c>
      <x:c r="V64" s="11" t="str">
        <x:v>HOLD</x:v>
      </x:c>
    </x:row>
    <x:row r="65" ht="228" customHeight="1">
      <x:c r="A65" s="11" t="str">
        <x:v>B-061</x:v>
      </x:c>
      <x:c r="B65" s="11" t="str">
        <x:v>0Ω通道选择跳线</x:v>
      </x:c>
      <x:c r="C65" s="11" t="str">
        <x:v>0Ω 0603</x:v>
      </x:c>
      <x:c r="D65" s="11" t="str">
        <x:v>UNKNOWN_VERIFY</x:v>
      </x:c>
      <x:c r="E65" s="13" t="n">
        <x:v>68</x:v>
      </x:c>
      <x:c r="F65" s="14" t="n">
        <x:v>0.1</x:v>
      </x:c>
      <x:c r="G65" s="13" t="n">
        <x:f>ROUNDUP(E65*(1+F65),0)</x:f>
        <x:v>75</x:v>
      </x:c>
      <x:c r="H65" s="11" t="str">
        <x:v>UP_B061_001, UP_B061_002, UP_B061_003, UP_B061_004, UP_B061_005, UP_B061_006, UP_B061_007, UP_B061_008, UP_B061_009, UP_B061_010, UP_B061_011, UP_B061_012, UP_B061_013, UP_B061_014, UP_B061_015, UP_B061_016, UP_B061_017, UP_B061_018, UP_B061_019, UP_B061_020, UP_B061_021, UP_B061_022, UP_B061_023, UP_B061_024, UP_B061_025, UP_B061_026, UP_B061_027, UP_B061_028, UP_B061_029, UP_B061_030, UP_B061_031, UP_B061_032, UP_B061_033, UP_B061_034, UP_B061_035, UP_B061_036, UP_B061_037, UP_B061_038, UP_B061_039, UP_B061_040, UP_B061_041, UP_B061_042, UP_B061_043, UP_B061_044, UP_B061_045, UP_B061_046, UP_B061_047, UP_B061_048, UP_B061_049, UP_B061_050, UP_B061_051, UP_B061_052, UP_B061_053, UP_B061_054, UP_B061_055, UP_B061_056, UP_B061_057, UP_B061_058, UP_B061_059, UP_B061_060, UP_B061_061, UP_B061_062, UP_B061_063, UP_B061_064, UP_B061_065, UP_B061_066, UP_B061_067, UP_B061_068</x:v>
      </x:c>
      <x:c r="I65" s="11" t="str">
        <x:v>0603; Pin1/EP原生库待核</x:v>
      </x:c>
      <x:c r="J65" s="11" t="str">
        <x:v>按原v5零件计数移植；新布板新增保护网路另计</x:v>
      </x:c>
      <x:c r="K65" s="11" t="str">
        <x:v>UNKNOWN</x:v>
      </x:c>
      <x:c r="L65" s="11" t="str">
        <x:v>LOCAL12V / 5V / 3V3</x:v>
      </x:c>
      <x:c r="M65" s="11" t="str">
        <x:v>https://github.com/loverlike1216/SonoField-FPGA/blob/main/v5/hardware/bom/BOM_MASTER.csv</x:v>
      </x:c>
      <x:c r="N65" s="11" t="str">
        <x:v>授权渠道待选；不默认替代</x:v>
      </x:c>
      <x:c r="O65" s="11" t="str">
        <x:v>UNKNOWN_VERIFY</x:v>
      </x:c>
      <x:c r="P65" s="11" t="str">
        <x:v>2026-10-11</x:v>
      </x:c>
      <x:c r="Q65" s="11" t="str">
        <x:v>INHERITED_CANDIDATE_REQUIRES_NATIVE_PIN_REVIEW</x:v>
      </x:c>
      <x:c r="R65" s="11" t="str">
        <x:v>User v5 scope; no procurement permission</x:v>
      </x:c>
      <x:c r="S65" s="11" t="str">
        <x:v>Inherited candidate quantity; netlist/thermal review pending</x:v>
      </x:c>
      <x:c r="T65" s="11" t="str">
        <x:v>UNKNOWN</x:v>
      </x:c>
      <x:c r="U65" s="11" t="str">
        <x:v>背面电子件 / 正面TX RX</x:v>
      </x:c>
      <x:c r="V65" s="11" t="str">
        <x:v>HOLD</x:v>
      </x:c>
    </x:row>
    <x:row r="66" ht="64" customHeight="1">
      <x:c r="A66" s="11" t="str">
        <x:v>B-062</x:v>
      </x:c>
      <x:c r="B66" s="11" t="str">
        <x:v>1.65kΩ限流编程</x:v>
      </x:c>
      <x:c r="C66" s="11" t="str">
        <x:v>1.65kΩ 1%</x:v>
      </x:c>
      <x:c r="D66" s="11" t="str">
        <x:v>UNKNOWN_VERIFY</x:v>
      </x:c>
      <x:c r="E66" s="13" t="n">
        <x:v>1</x:v>
      </x:c>
      <x:c r="F66" s="14" t="n">
        <x:v>0.1</x:v>
      </x:c>
      <x:c r="G66" s="13" t="n">
        <x:f>ROUNDUP(E66*(1+F66),0)</x:f>
        <x:v>2</x:v>
      </x:c>
      <x:c r="H66" s="11" t="str">
        <x:v>UP_B062_001</x:v>
      </x:c>
      <x:c r="I66" s="11" t="str">
        <x:v>0603; Pin1/EP原生库待核</x:v>
      </x:c>
      <x:c r="J66" s="11" t="str">
        <x:v>1.65kΩ→约2.02A标称；不是5.5A</x:v>
      </x:c>
      <x:c r="K66" s="11" t="str">
        <x:v>UNKNOWN</x:v>
      </x:c>
      <x:c r="L66" s="11" t="str">
        <x:v>LOCAL12V / 5V / 3V3</x:v>
      </x:c>
      <x:c r="M66" s="11" t="str">
        <x:v>https://github.com/loverlike1216/SonoField-FPGA/blob/main/v5/hardware/bom/BOM_MASTER.csv</x:v>
      </x:c>
      <x:c r="N66" s="11" t="str">
        <x:v>授权渠道待选；不默认替代</x:v>
      </x:c>
      <x:c r="O66" s="11" t="str">
        <x:v>UNKNOWN_VERIFY</x:v>
      </x:c>
      <x:c r="P66" s="11" t="str">
        <x:v>2026-10-11</x:v>
      </x:c>
      <x:c r="Q66" s="11" t="str">
        <x:v>INHERITED_CANDIDATE_REQUIRES_NATIVE_PIN_REVIEW</x:v>
      </x:c>
      <x:c r="R66" s="11" t="str">
        <x:v>User v5 scope; no procurement permission</x:v>
      </x:c>
      <x:c r="S66" s="11" t="str">
        <x:v>Inherited candidate quantity; netlist/thermal review pending</x:v>
      </x:c>
      <x:c r="T66" s="11" t="str">
        <x:v>UNKNOWN</x:v>
      </x:c>
      <x:c r="U66" s="11" t="str">
        <x:v>背面电子件 / 正面TX RX</x:v>
      </x:c>
      <x:c r="V66" s="11" t="str">
        <x:v>HOLD</x:v>
      </x:c>
    </x:row>
    <x:row r="67" ht="64" customHeight="1">
      <x:c r="A67" s="11" t="str">
        <x:v>B-063</x:v>
      </x:c>
      <x:c r="B67" s="11" t="str">
        <x:v>1.37MΩ过压编程</x:v>
      </x:c>
      <x:c r="C67" s="11" t="str">
        <x:v>1.37MΩ 1%</x:v>
      </x:c>
      <x:c r="D67" s="11" t="str">
        <x:v>UNKNOWN_VERIFY</x:v>
      </x:c>
      <x:c r="E67" s="13" t="n">
        <x:v>1</x:v>
      </x:c>
      <x:c r="F67" s="14" t="n">
        <x:v>0.1</x:v>
      </x:c>
      <x:c r="G67" s="13" t="n">
        <x:f>ROUNDUP(E67*(1+F67),0)</x:f>
        <x:v>2</x:v>
      </x:c>
      <x:c r="H67" s="11" t="str">
        <x:v>UP_B063_001</x:v>
      </x:c>
      <x:c r="I67" s="11" t="str">
        <x:v>0603; Pin1/EP原生库待核</x:v>
      </x:c>
      <x:c r="J67" s="11" t="str">
        <x:v>按原v5零件计数移植；新布板新增保护网路另计</x:v>
      </x:c>
      <x:c r="K67" s="11" t="str">
        <x:v>UNKNOWN</x:v>
      </x:c>
      <x:c r="L67" s="11" t="str">
        <x:v>LOCAL12V / 5V / 3V3</x:v>
      </x:c>
      <x:c r="M67" s="11" t="str">
        <x:v>https://github.com/loverlike1216/SonoField-FPGA/blob/main/v5/hardware/bom/BOM_MASTER.csv</x:v>
      </x:c>
      <x:c r="N67" s="11" t="str">
        <x:v>授权渠道待选；不默认替代</x:v>
      </x:c>
      <x:c r="O67" s="11" t="str">
        <x:v>UNKNOWN_VERIFY</x:v>
      </x:c>
      <x:c r="P67" s="11" t="str">
        <x:v>2026-10-11</x:v>
      </x:c>
      <x:c r="Q67" s="11" t="str">
        <x:v>INHERITED_CANDIDATE_REQUIRES_NATIVE_PIN_REVIEW</x:v>
      </x:c>
      <x:c r="R67" s="11" t="str">
        <x:v>User v5 scope; no procurement permission</x:v>
      </x:c>
      <x:c r="S67" s="11" t="str">
        <x:v>Inherited candidate quantity; netlist/thermal review pending</x:v>
      </x:c>
      <x:c r="T67" s="11" t="str">
        <x:v>UNKNOWN</x:v>
      </x:c>
      <x:c r="U67" s="11" t="str">
        <x:v>背面电子件 / 正面TX RX</x:v>
      </x:c>
      <x:c r="V67" s="11" t="str">
        <x:v>HOLD</x:v>
      </x:c>
    </x:row>
    <x:row r="68" ht="64" customHeight="1">
      <x:c r="A68" s="11" t="str">
        <x:v>B-064</x:v>
      </x:c>
      <x:c r="B68" s="11" t="str">
        <x:v>590kΩ反馈</x:v>
      </x:c>
      <x:c r="C68" s="11" t="str">
        <x:v>590kΩ 1%</x:v>
      </x:c>
      <x:c r="D68" s="11" t="str">
        <x:v>UNKNOWN_VERIFY</x:v>
      </x:c>
      <x:c r="E68" s="13" t="n">
        <x:v>1</x:v>
      </x:c>
      <x:c r="F68" s="14" t="n">
        <x:v>0.1</x:v>
      </x:c>
      <x:c r="G68" s="13" t="n">
        <x:f>ROUNDUP(E68*(1+F68),0)</x:f>
        <x:v>2</x:v>
      </x:c>
      <x:c r="H68" s="11" t="str">
        <x:v>UP_B064_001</x:v>
      </x:c>
      <x:c r="I68" s="11" t="str">
        <x:v>0603; Pin1/EP原生库待核</x:v>
      </x:c>
      <x:c r="J68" s="11" t="str">
        <x:v>按原v5零件计数移植；新布板新增保护网路另计</x:v>
      </x:c>
      <x:c r="K68" s="11" t="str">
        <x:v>UNKNOWN</x:v>
      </x:c>
      <x:c r="L68" s="11" t="str">
        <x:v>LOCAL12V / 5V / 3V3</x:v>
      </x:c>
      <x:c r="M68" s="11" t="str">
        <x:v>https://github.com/loverlike1216/SonoField-FPGA/blob/main/v5/hardware/bom/BOM_MASTER.csv</x:v>
      </x:c>
      <x:c r="N68" s="11" t="str">
        <x:v>授权渠道待选；不默认替代</x:v>
      </x:c>
      <x:c r="O68" s="11" t="str">
        <x:v>UNKNOWN_VERIFY</x:v>
      </x:c>
      <x:c r="P68" s="11" t="str">
        <x:v>2026-10-11</x:v>
      </x:c>
      <x:c r="Q68" s="11" t="str">
        <x:v>INHERITED_CANDIDATE_REQUIRES_NATIVE_PIN_REVIEW</x:v>
      </x:c>
      <x:c r="R68" s="11" t="str">
        <x:v>User v5 scope; no procurement permission</x:v>
      </x:c>
      <x:c r="S68" s="11" t="str">
        <x:v>Inherited candidate quantity; netlist/thermal review pending</x:v>
      </x:c>
      <x:c r="T68" s="11" t="str">
        <x:v>UNKNOWN</x:v>
      </x:c>
      <x:c r="U68" s="11" t="str">
        <x:v>背面电子件 / 正面TX RX</x:v>
      </x:c>
      <x:c r="V68" s="11" t="str">
        <x:v>HOLD</x:v>
      </x:c>
    </x:row>
    <x:row r="69" ht="64" customHeight="1">
      <x:c r="A69" s="11" t="str">
        <x:v>B-065</x:v>
      </x:c>
      <x:c r="B69" s="11" t="str">
        <x:v>100kΩ高精度反馈</x:v>
      </x:c>
      <x:c r="C69" s="11" t="str">
        <x:v>100kΩ 0.1%</x:v>
      </x:c>
      <x:c r="D69" s="11" t="str">
        <x:v>UNKNOWN_VERIFY</x:v>
      </x:c>
      <x:c r="E69" s="13" t="n">
        <x:v>4</x:v>
      </x:c>
      <x:c r="F69" s="14" t="n">
        <x:v>0.1</x:v>
      </x:c>
      <x:c r="G69" s="13" t="n">
        <x:f>ROUNDUP(E69*(1+F69),0)</x:f>
        <x:v>5</x:v>
      </x:c>
      <x:c r="H69" s="11" t="str">
        <x:v>UP_B065_001, UP_B065_002, UP_B065_003, UP_B065_004</x:v>
      </x:c>
      <x:c r="I69" s="11" t="str">
        <x:v>0603; Pin1/EP原生库待核</x:v>
      </x:c>
      <x:c r="J69" s="11" t="str">
        <x:v>按原v5零件计数移植；新布板新增保护网路另计</x:v>
      </x:c>
      <x:c r="K69" s="11" t="str">
        <x:v>UNKNOWN</x:v>
      </x:c>
      <x:c r="L69" s="11" t="str">
        <x:v>LOCAL12V / 5V / 3V3</x:v>
      </x:c>
      <x:c r="M69" s="11" t="str">
        <x:v>https://github.com/loverlike1216/SonoField-FPGA/blob/main/v5/hardware/bom/BOM_MASTER.csv</x:v>
      </x:c>
      <x:c r="N69" s="11" t="str">
        <x:v>授权渠道待选；不默认替代</x:v>
      </x:c>
      <x:c r="O69" s="11" t="str">
        <x:v>UNKNOWN_VERIFY</x:v>
      </x:c>
      <x:c r="P69" s="11" t="str">
        <x:v>2026-10-11</x:v>
      </x:c>
      <x:c r="Q69" s="11" t="str">
        <x:v>INHERITED_CANDIDATE_REQUIRES_NATIVE_PIN_REVIEW</x:v>
      </x:c>
      <x:c r="R69" s="11" t="str">
        <x:v>User v5 scope; no procurement permission</x:v>
      </x:c>
      <x:c r="S69" s="11" t="str">
        <x:v>Inherited candidate quantity; netlist/thermal review pending</x:v>
      </x:c>
      <x:c r="T69" s="11" t="str">
        <x:v>UNKNOWN</x:v>
      </x:c>
      <x:c r="U69" s="11" t="str">
        <x:v>背面电子件 / 正面TX RX</x:v>
      </x:c>
      <x:c r="V69" s="11" t="str">
        <x:v>HOLD</x:v>
      </x:c>
    </x:row>
    <x:row r="70" ht="64" customHeight="1">
      <x:c r="A70" s="11" t="str">
        <x:v>B-066</x:v>
      </x:c>
      <x:c r="B70" s="11" t="str">
        <x:v>10kΩ高精度反馈</x:v>
      </x:c>
      <x:c r="C70" s="11" t="str">
        <x:v>10kΩ 0.1%</x:v>
      </x:c>
      <x:c r="D70" s="11" t="str">
        <x:v>UNKNOWN_VERIFY</x:v>
      </x:c>
      <x:c r="E70" s="13" t="n">
        <x:v>12</x:v>
      </x:c>
      <x:c r="F70" s="14" t="n">
        <x:v>0.1</x:v>
      </x:c>
      <x:c r="G70" s="13" t="n">
        <x:f>ROUNDUP(E70*(1+F70),0)</x:f>
        <x:v>14</x:v>
      </x:c>
      <x:c r="H70" s="11" t="str">
        <x:v>UP_B066_001, UP_B066_002, UP_B066_003, UP_B066_004, UP_B066_005, UP_B066_006, UP_B066_007, UP_B066_008, UP_B066_009, UP_B066_010, UP_B066_011, UP_B066_012</x:v>
      </x:c>
      <x:c r="I70" s="11" t="str">
        <x:v>0603; Pin1/EP原生库待核</x:v>
      </x:c>
      <x:c r="J70" s="11" t="str">
        <x:v>按原v5零件计数移植；新布板新增保护网路另计</x:v>
      </x:c>
      <x:c r="K70" s="11" t="str">
        <x:v>UNKNOWN</x:v>
      </x:c>
      <x:c r="L70" s="11" t="str">
        <x:v>LOCAL12V / 5V / 3V3</x:v>
      </x:c>
      <x:c r="M70" s="11" t="str">
        <x:v>https://github.com/loverlike1216/SonoField-FPGA/blob/main/v5/hardware/bom/BOM_MASTER.csv</x:v>
      </x:c>
      <x:c r="N70" s="11" t="str">
        <x:v>授权渠道待选；不默认替代</x:v>
      </x:c>
      <x:c r="O70" s="11" t="str">
        <x:v>UNKNOWN_VERIFY</x:v>
      </x:c>
      <x:c r="P70" s="11" t="str">
        <x:v>2026-10-11</x:v>
      </x:c>
      <x:c r="Q70" s="11" t="str">
        <x:v>INHERITED_CANDIDATE_REQUIRES_NATIVE_PIN_REVIEW</x:v>
      </x:c>
      <x:c r="R70" s="11" t="str">
        <x:v>User v5 scope; no procurement permission</x:v>
      </x:c>
      <x:c r="S70" s="11" t="str">
        <x:v>Inherited candidate quantity; netlist/thermal review pending</x:v>
      </x:c>
      <x:c r="T70" s="11" t="str">
        <x:v>UNKNOWN</x:v>
      </x:c>
      <x:c r="U70" s="11" t="str">
        <x:v>背面电子件 / 正面TX RX</x:v>
      </x:c>
      <x:c r="V70" s="11" t="str">
        <x:v>HOLD</x:v>
      </x:c>
    </x:row>
    <x:row r="71" ht="64" customHeight="1">
      <x:c r="A71" s="11" t="str">
        <x:v>B-067</x:v>
      </x:c>
      <x:c r="B71" s="11" t="str">
        <x:v>TX电阻调谐预留</x:v>
      </x:c>
      <x:c r="C71" s="11" t="str">
        <x:v>1.2kΩ 0603 DNP</x:v>
      </x:c>
      <x:c r="D71" s="11" t="str">
        <x:v>UNKNOWN_VERIFY</x:v>
      </x:c>
      <x:c r="E71" s="13" t="n">
        <x:v>0</x:v>
      </x:c>
      <x:c r="F71" s="14" t="n">
        <x:v>0.1</x:v>
      </x:c>
      <x:c r="G71" s="13" t="n">
        <x:f>ROUNDUP(E71*(1+F71),0)</x:f>
        <x:v>0</x:v>
      </x:c>
      <x:c r="H71" s="11" t="str"/>
      <x:c r="I71" s="11" t="str">
        <x:v>0603; Pin1/EP原生库待核</x:v>
      </x:c>
      <x:c r="J71" s="11" t="str">
        <x:v>128位置默认不装</x:v>
      </x:c>
      <x:c r="K71" s="11" t="str">
        <x:v>UNKNOWN</x:v>
      </x:c>
      <x:c r="L71" s="11" t="str">
        <x:v>LOCAL12V / 5V / 3V3</x:v>
      </x:c>
      <x:c r="M71" s="11" t="str">
        <x:v>https://github.com/loverlike1216/SonoField-FPGA/blob/main/v5/hardware/bom/BOM_MASTER.csv</x:v>
      </x:c>
      <x:c r="N71" s="11" t="str">
        <x:v>授权渠道待选；不默认替代</x:v>
      </x:c>
      <x:c r="O71" s="11" t="str">
        <x:v>UNKNOWN_VERIFY</x:v>
      </x:c>
      <x:c r="P71" s="11" t="str">
        <x:v>2026-10-11</x:v>
      </x:c>
      <x:c r="Q71" s="11" t="str">
        <x:v>INHERITED_CANDIDATE_REQUIRES_NATIVE_PIN_REVIEW</x:v>
      </x:c>
      <x:c r="R71" s="11" t="str">
        <x:v>User v5 scope; no procurement permission</x:v>
      </x:c>
      <x:c r="S71" s="11" t="str">
        <x:v>Inherited candidate quantity; netlist/thermal review pending</x:v>
      </x:c>
      <x:c r="T71" s="11" t="str">
        <x:v>UNKNOWN</x:v>
      </x:c>
      <x:c r="U71" s="11" t="str">
        <x:v>背面电子件 / 正面TX RX</x:v>
      </x:c>
      <x:c r="V71" s="11" t="str">
        <x:v>HOLD</x:v>
      </x:c>
    </x:row>
    <x:row r="72" ht="64" customHeight="1">
      <x:c r="A72" s="11" t="str">
        <x:v>B-068</x:v>
      </x:c>
      <x:c r="B72" s="11" t="str">
        <x:v>AFE增益调整预留</x:v>
      </x:c>
      <x:c r="C72" s="11" t="str">
        <x:v>39kΩ 0.1% DNP</x:v>
      </x:c>
      <x:c r="D72" s="11" t="str">
        <x:v>UNKNOWN_VERIFY</x:v>
      </x:c>
      <x:c r="E72" s="13" t="n">
        <x:v>0</x:v>
      </x:c>
      <x:c r="F72" s="14" t="n">
        <x:v>0.1</x:v>
      </x:c>
      <x:c r="G72" s="13" t="n">
        <x:f>ROUNDUP(E72*(1+F72),0)</x:f>
        <x:v>0</x:v>
      </x:c>
      <x:c r="H72" s="11" t="str"/>
      <x:c r="I72" s="11" t="str">
        <x:v>0603; Pin1/EP原生库待核</x:v>
      </x:c>
      <x:c r="J72" s="11" t="str">
        <x:v>默认不装；每通道调参位</x:v>
      </x:c>
      <x:c r="K72" s="11" t="str">
        <x:v>UNKNOWN</x:v>
      </x:c>
      <x:c r="L72" s="11" t="str">
        <x:v>LOCAL12V / 5V / 3V3</x:v>
      </x:c>
      <x:c r="M72" s="11" t="str">
        <x:v>https://github.com/loverlike1216/SonoField-FPGA/blob/main/v5/hardware/bom/BOM_MASTER.csv</x:v>
      </x:c>
      <x:c r="N72" s="11" t="str">
        <x:v>授权渠道待选；不默认替代</x:v>
      </x:c>
      <x:c r="O72" s="11" t="str">
        <x:v>UNKNOWN_VERIFY</x:v>
      </x:c>
      <x:c r="P72" s="11" t="str">
        <x:v>2026-10-11</x:v>
      </x:c>
      <x:c r="Q72" s="11" t="str">
        <x:v>INHERITED_CANDIDATE_REQUIRES_NATIVE_PIN_REVIEW</x:v>
      </x:c>
      <x:c r="R72" s="11" t="str">
        <x:v>User v5 scope; no procurement permission</x:v>
      </x:c>
      <x:c r="S72" s="11" t="str">
        <x:v>Inherited candidate quantity; netlist/thermal review pending</x:v>
      </x:c>
      <x:c r="T72" s="11" t="str">
        <x:v>UNKNOWN</x:v>
      </x:c>
      <x:c r="U72" s="11" t="str">
        <x:v>背面电子件 / 正面TX RX</x:v>
      </x:c>
      <x:c r="V72" s="11" t="str">
        <x:v>HOLD</x:v>
      </x:c>
    </x:row>
    <x:row r="73" ht="64" customHeight="1">
      <x:c r="A73" s="11" t="str">
        <x:v>B-069</x:v>
      </x:c>
      <x:c r="B73" s="11" t="str">
        <x:v>4层阵列PCB</x:v>
      </x:c>
      <x:c r="C73" s="11" t="str">
        <x:v>200x180mm_COMMON_ARRAY_EXTENSION_CANDIDATE</x:v>
      </x:c>
      <x:c r="D73" s="11" t="str">
        <x:v>UNKNOWN_VERIFY</x:v>
      </x:c>
      <x:c r="E73" s="13" t="n">
        <x:v>1</x:v>
      </x:c>
      <x:c r="F73" s="14" t="n">
        <x:v>0.1</x:v>
      </x:c>
      <x:c r="G73" s="13" t="n">
        <x:f>ROUNDUP(E73*(1+F73),0)</x:f>
        <x:v>2</x:v>
      </x:c>
      <x:c r="H73" s="11" t="str">
        <x:v>UP_B069_001</x:v>
      </x:c>
      <x:c r="I73" s="11" t="str">
        <x:v>PCB; Pin1/EP原生库待核</x:v>
      </x:c>
      <x:c r="J73" s="11" t="str">
        <x:v>单板64 TX+4RX+驱动/AFE；空间布局受限需密度审查</x:v>
      </x:c>
      <x:c r="K73" s="11" t="str">
        <x:v>UNKNOWN</x:v>
      </x:c>
      <x:c r="L73" s="11" t="str">
        <x:v>LOCAL12V / 5V / 3V3</x:v>
      </x:c>
      <x:c r="M73" s="11" t="str">
        <x:v>https://jlcpcb.com</x:v>
      </x:c>
      <x:c r="N73" s="11" t="str">
        <x:v>授权渠道待选；不默认替代</x:v>
      </x:c>
      <x:c r="O73" s="11" t="str">
        <x:v>UNKNOWN_VERIFY</x:v>
      </x:c>
      <x:c r="P73" s="11" t="str">
        <x:v>2026-10-11</x:v>
      </x:c>
      <x:c r="Q73" s="11" t="str">
        <x:v>INHERITED_CANDIDATE_REQUIRES_NATIVE_PIN_REVIEW</x:v>
      </x:c>
      <x:c r="R73" s="11" t="str">
        <x:v>User v5 scope; no procurement permission</x:v>
      </x:c>
      <x:c r="S73" s="11" t="str">
        <x:v>Electronics outside118.3mm acoustic projection; mechanical/routing/thermal proof HOLD</x:v>
      </x:c>
      <x:c r="T73" s="11" t="str">
        <x:v>UNKNOWN</x:v>
      </x:c>
      <x:c r="U73" s="11" t="str">
        <x:v>背面电子件 / 正面TX RX</x:v>
      </x:c>
      <x:c r="V73" s="11" t="str">
        <x:v>HOLD</x:v>
      </x:c>
    </x:row>
    <x:row r="74" ht="64" customHeight="1">
      <x:c r="A74" s="11" t="str">
        <x:v>B-070</x:v>
      </x:c>
      <x:c r="B74" s="11" t="str">
        <x:v>4层AX7020适配/ADC PCB</x:v>
      </x:c>
      <x:c r="C74" s="11" t="str">
        <x:v>100×80mm 4L候选</x:v>
      </x:c>
      <x:c r="D74" s="11" t="str">
        <x:v>UNKNOWN_VERIFY</x:v>
      </x:c>
      <x:c r="E74" s="13" t="n">
        <x:v>0</x:v>
      </x:c>
      <x:c r="F74" s="14" t="n">
        <x:v>0.1</x:v>
      </x:c>
      <x:c r="G74" s="13" t="n">
        <x:f>ROUNDUP(E74*(1+F74),0)</x:f>
        <x:v>0</x:v>
      </x:c>
      <x:c r="H74" s="11" t="str"/>
      <x:c r="I74" s="11" t="str">
        <x:v>PCB; Pin1/EP原生库待核</x:v>
      </x:c>
      <x:c r="J74" s="11" t="str">
        <x:v>尺寸随对接连接器/J10-J11位置确定</x:v>
      </x:c>
      <x:c r="K74" s="11" t="str">
        <x:v>UNKNOWN</x:v>
      </x:c>
      <x:c r="L74" s="11" t="str">
        <x:v>LOCAL12V / 5V / 3V3</x:v>
      </x:c>
      <x:c r="M74" s="11" t="str">
        <x:v>https://jlcpcb.com</x:v>
      </x:c>
      <x:c r="N74" s="11" t="str">
        <x:v>授权渠道待选；不默认替代</x:v>
      </x:c>
      <x:c r="O74" s="11" t="str">
        <x:v>UNKNOWN_VERIFY</x:v>
      </x:c>
      <x:c r="P74" s="11" t="str">
        <x:v>2026-10-11</x:v>
      </x:c>
      <x:c r="Q74" s="11" t="str">
        <x:v>INHERITED_CANDIDATE_REQUIRES_NATIVE_PIN_REVIEW</x:v>
      </x:c>
      <x:c r="R74" s="11" t="str">
        <x:v>User v5 scope; no procurement permission</x:v>
      </x:c>
      <x:c r="S74" s="11" t="str">
        <x:v>Central interface board ONLY AX7020 protected single source per rail; no central external12V</x:v>
      </x:c>
      <x:c r="T74" s="11" t="str">
        <x:v>UNKNOWN</x:v>
      </x:c>
      <x:c r="U74" s="11" t="str">
        <x:v>背面电子件 / 正面TX RX</x:v>
      </x:c>
      <x:c r="V74" s="11" t="str">
        <x:v>HOLD</x:v>
      </x:c>
    </x:row>
    <x:row r="75" ht="64" customHeight="1">
      <x:c r="A75" s="11" t="str">
        <x:v>B-071</x:v>
      </x:c>
      <x:c r="B75" s="11" t="str">
        <x:v>2层SHT45小板</x:v>
      </x:c>
      <x:c r="C75" s="11" t="str">
        <x:v>20×20mm 2L候选</x:v>
      </x:c>
      <x:c r="D75" s="11" t="str">
        <x:v>UNKNOWN_VERIFY</x:v>
      </x:c>
      <x:c r="E75" s="13" t="n">
        <x:v>0</x:v>
      </x:c>
      <x:c r="F75" s="14" t="n">
        <x:v>0.1</x:v>
      </x:c>
      <x:c r="G75" s="13" t="n">
        <x:f>ROUNDUP(E75*(1+F75),0)</x:f>
        <x:v>0</x:v>
      </x:c>
      <x:c r="H75" s="11" t="str"/>
      <x:c r="I75" s="11" t="str">
        <x:v>PCB; Pin1/EP原生库待核</x:v>
      </x:c>
      <x:c r="J75" s="11" t="str">
        <x:v>远离功率阵列</x:v>
      </x:c>
      <x:c r="K75" s="11" t="str">
        <x:v>UNKNOWN</x:v>
      </x:c>
      <x:c r="L75" s="11" t="str">
        <x:v>LOCAL12V / 5V / 3V3</x:v>
      </x:c>
      <x:c r="M75" s="11" t="str">
        <x:v>https://jlcpcb.com</x:v>
      </x:c>
      <x:c r="N75" s="11" t="str">
        <x:v>授权渠道待选；不默认替代</x:v>
      </x:c>
      <x:c r="O75" s="11" t="str">
        <x:v>UNKNOWN_VERIFY</x:v>
      </x:c>
      <x:c r="P75" s="11" t="str">
        <x:v>2026-10-11</x:v>
      </x:c>
      <x:c r="Q75" s="11" t="str">
        <x:v>INHERITED_CANDIDATE_REQUIRES_NATIVE_PIN_REVIEW</x:v>
      </x:c>
      <x:c r="R75" s="11" t="str">
        <x:v>User v5 scope; no procurement permission</x:v>
      </x:c>
      <x:c r="S75" s="11" t="str">
        <x:v>Inherited candidate quantity; netlist/thermal review pending</x:v>
      </x:c>
      <x:c r="T75" s="11" t="str">
        <x:v>UNKNOWN</x:v>
      </x:c>
      <x:c r="U75" s="11" t="str">
        <x:v>背面电子件 / 正面TX RX</x:v>
      </x:c>
      <x:c r="V75" s="11" t="str">
        <x:v>HOLD</x:v>
      </x:c>
    </x:row>
    <x:row r="76" ht="64" customHeight="1">
      <x:c r="A76" s="11" t="str">
        <x:v>B-072</x:v>
      </x:c>
      <x:c r="B76" s="11" t="str">
        <x:v>对置阵列固定件</x:v>
      </x:c>
      <x:c r="C76" s="11" t="str">
        <x:v>M3非磁性螺钉/尼龙柱/滑轨</x:v>
      </x:c>
      <x:c r="D76" s="11" t="str">
        <x:v>UNKNOWN_VERIFY</x:v>
      </x:c>
      <x:c r="E76" s="13" t="n">
        <x:v>0</x:v>
      </x:c>
      <x:c r="F76" s="14" t="n">
        <x:v>0.1</x:v>
      </x:c>
      <x:c r="G76" s="13" t="n">
        <x:f>ROUNDUP(E76*(1+F76),0)</x:f>
        <x:v>0</x:v>
      </x:c>
      <x:c r="H76" s="11" t="str"/>
      <x:c r="I76" s="11" t="str">
        <x:v>机械; Pin1/EP原生库待核</x:v>
      </x:c>
      <x:c r="J76" s="11" t="str">
        <x:v>上下间距90-115mm可调，名义100mm</x:v>
      </x:c>
      <x:c r="K76" s="11" t="str">
        <x:v>UNKNOWN</x:v>
      </x:c>
      <x:c r="L76" s="11" t="str">
        <x:v>LOCAL12V / 5V / 3V3</x:v>
      </x:c>
      <x:c r="M76" s="11" t="str">
        <x:v>https://github.com/loverlike1216/SonoField-FPGA/tree/main/v5</x:v>
      </x:c>
      <x:c r="N76" s="11" t="str">
        <x:v>授权渠道待选；不默认替代</x:v>
      </x:c>
      <x:c r="O76" s="11" t="str">
        <x:v>UNKNOWN_VERIFY</x:v>
      </x:c>
      <x:c r="P76" s="11" t="str">
        <x:v>2026-10-11</x:v>
      </x:c>
      <x:c r="Q76" s="11" t="str">
        <x:v>INHERITED_CANDIDATE_REQUIRES_NATIVE_PIN_REVIEW</x:v>
      </x:c>
      <x:c r="R76" s="11" t="str">
        <x:v>User v5 scope; no procurement permission</x:v>
      </x:c>
      <x:c r="S76" s="11" t="str">
        <x:v>Inherited candidate quantity; netlist/thermal review pending</x:v>
      </x:c>
      <x:c r="T76" s="11" t="str">
        <x:v>UNKNOWN</x:v>
      </x:c>
      <x:c r="U76" s="11" t="str">
        <x:v>背面电子件 / 正面TX RX</x:v>
      </x:c>
      <x:c r="V76" s="11" t="str">
        <x:v>HOLD</x:v>
      </x:c>
    </x:row>
    <x:row r="77" ht="64" customHeight="1">
      <x:c r="A77" s="11" t="str">
        <x:v>PC-001</x:v>
      </x:c>
      <x:c r="B77" s="11" t="str">
        <x:v>Remote I2C hot-swap isolation</x:v>
      </x:c>
      <x:c r="C77" s="11" t="str">
        <x:v>TCA4307DGKR</x:v>
      </x:c>
      <x:c r="D77" s="11" t="str">
        <x:v>UNKNOWN_VERIFY</x:v>
      </x:c>
      <x:c r="E77" s="13" t="n">
        <x:v>0</x:v>
      </x:c>
      <x:c r="F77" s="14" t="n">
        <x:v>0.1</x:v>
      </x:c>
      <x:c r="G77" s="13" t="n">
        <x:f>ROUNDUP(E77*(1+F77),0)</x:f>
        <x:v>0</x:v>
      </x:c>
      <x:c r="H77" s="11" t="str"/>
      <x:c r="I77" s="11" t="str">
        <x:v>VSSOP-8; Pin1/EP原生库待核</x:v>
      </x:c>
      <x:c r="J77" s="11" t="str">
        <x:v>CANDIDATE_REVIEW_REQUIRED</x:v>
      </x:c>
      <x:c r="K77" s="11" t="str">
        <x:v>UNKNOWN</x:v>
      </x:c>
      <x:c r="L77" s="11" t="str">
        <x:v>LOCAL12V / 5V / 3V3</x:v>
      </x:c>
      <x:c r="M77" s="11" t="str">
        <x:v>https://www.ti.com/product/TCA4307</x:v>
      </x:c>
      <x:c r="N77" s="11" t="str">
        <x:v>授权渠道待选；不默认替代</x:v>
      </x:c>
      <x:c r="O77" s="11" t="str">
        <x:v>UNKNOWN_VERIFY</x:v>
      </x:c>
      <x:c r="P77" s="11" t="str">
        <x:v>2026-10-11</x:v>
      </x:c>
      <x:c r="Q77" s="11" t="str">
        <x:v>INHERITED_CANDIDATE_REQUIRES_NATIVE_PIN_REVIEW</x:v>
      </x:c>
      <x:c r="R77" s="11" t="str">
        <x:v>User v5 scope; no procurement permission</x:v>
      </x:c>
      <x:c r="S77" s="11" t="str">
        <x:v>Electrical/thermal qualification HOLD</x:v>
      </x:c>
      <x:c r="T77" s="11" t="str">
        <x:v>UNKNOWN</x:v>
      </x:c>
      <x:c r="U77" s="11" t="str">
        <x:v>背面电子件 / 正面TX RX</x:v>
      </x:c>
      <x:c r="V77" s="11" t="str">
        <x:v>HOLD</x:v>
      </x:c>
    </x:row>
    <x:row r="78" ht="64" customHeight="1">
      <x:c r="A78" s="11" t="str">
        <x:v>PC-002</x:v>
      </x:c>
      <x:c r="B78" s="11" t="str">
        <x:v>Driver hotspot independent comparator</x:v>
      </x:c>
      <x:c r="C78" s="11" t="str">
        <x:v>PART_SELECTION_HOLD</x:v>
      </x:c>
      <x:c r="D78" s="11" t="str">
        <x:v>UNKNOWN_VERIFY</x:v>
      </x:c>
      <x:c r="E78" s="13" t="n">
        <x:v>0</x:v>
      </x:c>
      <x:c r="F78" s="14" t="n">
        <x:v>0.1</x:v>
      </x:c>
      <x:c r="G78" s="13" t="n">
        <x:f>ROUNDUP(E78*(1+F78),0)</x:f>
        <x:v>0</x:v>
      </x:c>
      <x:c r="H78" s="11" t="str"/>
      <x:c r="I78" s="11" t="str">
        <x:v>HOLD; Pin1/EP原生库待核</x:v>
      </x:c>
      <x:c r="J78" s="11" t="str">
        <x:v>CANDIDATE_REVIEW_REQUIRED</x:v>
      </x:c>
      <x:c r="K78" s="11" t="str">
        <x:v>UNKNOWN</x:v>
      </x:c>
      <x:c r="L78" s="11" t="str">
        <x:v>LOCAL12V / 5V / 3V3</x:v>
      </x:c>
      <x:c r="M78" s="11" t="str">
        <x:v>USER_SAFETY_REQUIREMENT</x:v>
      </x:c>
      <x:c r="N78" s="11" t="str">
        <x:v>授权渠道待选；不默认替代</x:v>
      </x:c>
      <x:c r="O78" s="11" t="str">
        <x:v>UNKNOWN_VERIFY</x:v>
      </x:c>
      <x:c r="P78" s="11" t="str">
        <x:v>2026-10-11</x:v>
      </x:c>
      <x:c r="Q78" s="11" t="str">
        <x:v>INHERITED_CANDIDATE_REQUIRES_NATIVE_PIN_REVIEW</x:v>
      </x:c>
      <x:c r="R78" s="11" t="str">
        <x:v>User v5 scope; no procurement permission</x:v>
      </x:c>
      <x:c r="S78" s="11" t="str">
        <x:v>SUPERSEDED_OR_OPTIONAL_DNP: see new H entries; not installed twice</x:v>
      </x:c>
      <x:c r="T78" s="11" t="str">
        <x:v>UNKNOWN</x:v>
      </x:c>
      <x:c r="U78" s="11" t="str">
        <x:v>背面电子件 / 正面TX RX</x:v>
      </x:c>
      <x:c r="V78" s="11" t="str">
        <x:v>HOLD</x:v>
      </x:c>
    </x:row>
    <x:row r="79" ht="64" customHeight="1">
      <x:c r="A79" s="11" t="str">
        <x:v>PC-003</x:v>
      </x:c>
      <x:c r="B79" s="11" t="str">
        <x:v>Central header reverse-blocking protection</x:v>
      </x:c>
      <x:c r="C79" s="11" t="str">
        <x:v>PART_SELECTION_HOLD</x:v>
      </x:c>
      <x:c r="D79" s="11" t="str">
        <x:v>UNKNOWN_VERIFY</x:v>
      </x:c>
      <x:c r="E79" s="13" t="n">
        <x:v>0</x:v>
      </x:c>
      <x:c r="F79" s="14" t="n">
        <x:v>0.1</x:v>
      </x:c>
      <x:c r="G79" s="13" t="n">
        <x:f>ROUNDUP(E79*(1+F79),0)</x:f>
        <x:v>0</x:v>
      </x:c>
      <x:c r="H79" s="11" t="str"/>
      <x:c r="I79" s="11" t="str">
        <x:v>HOLD; Pin1/EP原生库待核</x:v>
      </x:c>
      <x:c r="J79" s="11" t="str">
        <x:v>CANDIDATE_REVIEW_REQUIRED</x:v>
      </x:c>
      <x:c r="K79" s="11" t="str">
        <x:v>UNKNOWN</x:v>
      </x:c>
      <x:c r="L79" s="11" t="str">
        <x:v>LOCAL12V / 5V / 3V3</x:v>
      </x:c>
      <x:c r="M79" s="11" t="str">
        <x:v>USER_AX7020_POWER_ONLY_REQUIREMENT</x:v>
      </x:c>
      <x:c r="N79" s="11" t="str">
        <x:v>授权渠道待选；不默认替代</x:v>
      </x:c>
      <x:c r="O79" s="11" t="str">
        <x:v>UNKNOWN_VERIFY</x:v>
      </x:c>
      <x:c r="P79" s="11" t="str">
        <x:v>2026-10-11</x:v>
      </x:c>
      <x:c r="Q79" s="11" t="str">
        <x:v>INHERITED_CANDIDATE_REQUIRES_NATIVE_PIN_REVIEW</x:v>
      </x:c>
      <x:c r="R79" s="11" t="str">
        <x:v>User v5 scope; no procurement permission</x:v>
      </x:c>
      <x:c r="S79" s="11" t="str">
        <x:v>SUPERSEDED_OR_OPTIONAL_DNP: see new H entries; not installed twice</x:v>
      </x:c>
      <x:c r="T79" s="11" t="str">
        <x:v>UNKNOWN</x:v>
      </x:c>
      <x:c r="U79" s="11" t="str">
        <x:v>背面电子件 / 正面TX RX</x:v>
      </x:c>
      <x:c r="V79" s="11" t="str">
        <x:v>HOLD</x:v>
      </x:c>
    </x:row>
    <x:row r="80" ht="64" customHeight="1">
      <x:c r="A80" s="11" t="str">
        <x:v>PC-004</x:v>
      </x:c>
      <x:c r="B80" s="11" t="str">
        <x:v>NC emergency stop independent contact</x:v>
      </x:c>
      <x:c r="C80" s="11" t="str">
        <x:v>PART_SELECTION_HOLD</x:v>
      </x:c>
      <x:c r="D80" s="11" t="str">
        <x:v>UNKNOWN_VERIFY</x:v>
      </x:c>
      <x:c r="E80" s="13" t="n">
        <x:v>0</x:v>
      </x:c>
      <x:c r="F80" s="14" t="n">
        <x:v>0.1</x:v>
      </x:c>
      <x:c r="G80" s="13" t="n">
        <x:f>ROUNDUP(E80*(1+F80),0)</x:f>
        <x:v>0</x:v>
      </x:c>
      <x:c r="H80" s="11" t="str"/>
      <x:c r="I80" s="11" t="str">
        <x:v>HOLD; Pin1/EP原生库待核</x:v>
      </x:c>
      <x:c r="J80" s="11" t="str">
        <x:v>CANDIDATE_REVIEW_REQUIRED</x:v>
      </x:c>
      <x:c r="K80" s="11" t="str">
        <x:v>UNKNOWN</x:v>
      </x:c>
      <x:c r="L80" s="11" t="str">
        <x:v>LOCAL12V / 5V / 3V3</x:v>
      </x:c>
      <x:c r="M80" s="11" t="str">
        <x:v>USER_SAFETY_REQUIREMENT</x:v>
      </x:c>
      <x:c r="N80" s="11" t="str">
        <x:v>授权渠道待选；不默认替代</x:v>
      </x:c>
      <x:c r="O80" s="11" t="str">
        <x:v>UNKNOWN_VERIFY</x:v>
      </x:c>
      <x:c r="P80" s="11" t="str">
        <x:v>2026-10-11</x:v>
      </x:c>
      <x:c r="Q80" s="11" t="str">
        <x:v>INHERITED_CANDIDATE_REQUIRES_NATIVE_PIN_REVIEW</x:v>
      </x:c>
      <x:c r="R80" s="11" t="str">
        <x:v>User v5 scope; no procurement permission</x:v>
      </x:c>
      <x:c r="S80" s="11" t="str">
        <x:v>SUPERSEDED_OR_OPTIONAL_DNP: see new H entries; not installed twice</x:v>
      </x:c>
      <x:c r="T80" s="11" t="str">
        <x:v>UNKNOWN</x:v>
      </x:c>
      <x:c r="U80" s="11" t="str">
        <x:v>背面电子件 / 正面TX RX</x:v>
      </x:c>
      <x:c r="V80" s="11" t="str">
        <x:v>HOLD</x:v>
      </x:c>
    </x:row>
    <x:row r="81" ht="64" customHeight="1">
      <x:c r="A81" s="11" t="str">
        <x:v>NS-001</x:v>
      </x:c>
      <x:c r="B81" s="11" t="str">
        <x:v>Independent NC estop safety loop connector</x:v>
      </x:c>
      <x:c r="C81" s="11" t="str">
        <x:v>PART_SELECTION_HOLD</x:v>
      </x:c>
      <x:c r="D81" s="11" t="str">
        <x:v>UNKNOWN_VERIFY</x:v>
      </x:c>
      <x:c r="E81" s="13" t="n">
        <x:v>1</x:v>
      </x:c>
      <x:c r="F81" s="14" t="n">
        <x:v>0.1</x:v>
      </x:c>
      <x:c r="G81" s="13" t="n">
        <x:f>ROUNDUP(E81*(1+F81),0)</x:f>
        <x:v>2</x:v>
      </x:c>
      <x:c r="H81" s="11" t="str">
        <x:v>UP_NS001_001</x:v>
      </x:c>
      <x:c r="I81" s="11" t="str">
        <x:v>UNKNOWN; Pin1/EP原生库待核</x:v>
      </x:c>
      <x:c r="J81" s="11" t="str">
        <x:v>LOGIC/12V_DOMAIN_REVIEW</x:v>
      </x:c>
      <x:c r="K81" s="11" t="str">
        <x:v>UNKNOWN</x:v>
      </x:c>
      <x:c r="L81" s="11" t="str">
        <x:v>LOCAL12V / 5V / 3V3</x:v>
      </x:c>
      <x:c r="M81" s="11" t="str">
        <x:v>Current user GateC3/D1</x:v>
      </x:c>
      <x:c r="N81" s="11" t="str">
        <x:v>授权渠道待选；不默认替代</x:v>
      </x:c>
      <x:c r="O81" s="11" t="str">
        <x:v>UNKNOWN_VERIFY</x:v>
      </x:c>
      <x:c r="P81" s="11" t="str">
        <x:v>2026-10-11</x:v>
      </x:c>
      <x:c r="Q81" s="11" t="str">
        <x:v>INHERITED_CANDIDATE_REQUIRES_NATIVE_PIN_REVIEW</x:v>
      </x:c>
      <x:c r="R81" s="11" t="str">
        <x:v>User v5 scope; no procurement permission</x:v>
      </x:c>
      <x:c r="S81" s="11" t="str">
        <x:v>Power-loss/cable/unpowered/clock-stop physical injection required</x:v>
      </x:c>
      <x:c r="T81" s="11" t="str">
        <x:v>UNKNOWN</x:v>
      </x:c>
      <x:c r="U81" s="11" t="str">
        <x:v>背面电子件 / 正面TX RX</x:v>
      </x:c>
      <x:c r="V81" s="11" t="str">
        <x:v>HOLD</x:v>
      </x:c>
    </x:row>
    <x:row r="82" ht="64" customHeight="1">
      <x:c r="A82" s="11" t="str">
        <x:v>NS-002</x:v>
      </x:c>
      <x:c r="B82" s="11" t="str">
        <x:v>Independent thermal comparator and threshold network</x:v>
      </x:c>
      <x:c r="C82" s="11" t="str">
        <x:v>PART_SELECTION_HOLD</x:v>
      </x:c>
      <x:c r="D82" s="11" t="str">
        <x:v>UNKNOWN_VERIFY</x:v>
      </x:c>
      <x:c r="E82" s="13" t="n">
        <x:v>0</x:v>
      </x:c>
      <x:c r="F82" s="14" t="n">
        <x:v>0.1</x:v>
      </x:c>
      <x:c r="G82" s="13" t="n">
        <x:f>ROUNDUP(E82*(1+F82),0)</x:f>
        <x:v>0</x:v>
      </x:c>
      <x:c r="H82" s="11" t="str"/>
      <x:c r="I82" s="11" t="str">
        <x:v>UNKNOWN; Pin1/EP原生库待核</x:v>
      </x:c>
      <x:c r="J82" s="11" t="str">
        <x:v>LOGIC/12V_DOMAIN_REVIEW</x:v>
      </x:c>
      <x:c r="K82" s="11" t="str">
        <x:v>UNKNOWN</x:v>
      </x:c>
      <x:c r="L82" s="11" t="str">
        <x:v>LOCAL12V / 5V / 3V3</x:v>
      </x:c>
      <x:c r="M82" s="11" t="str">
        <x:v>Current user GateC3/D1</x:v>
      </x:c>
      <x:c r="N82" s="11" t="str">
        <x:v>授权渠道待选；不默认替代</x:v>
      </x:c>
      <x:c r="O82" s="11" t="str">
        <x:v>UNKNOWN_VERIFY</x:v>
      </x:c>
      <x:c r="P82" s="11" t="str">
        <x:v>2026-10-11</x:v>
      </x:c>
      <x:c r="Q82" s="11" t="str">
        <x:v>INHERITED_CANDIDATE_REQUIRES_NATIVE_PIN_REVIEW</x:v>
      </x:c>
      <x:c r="R82" s="11" t="str">
        <x:v>User v5 scope; no procurement permission</x:v>
      </x:c>
      <x:c r="S82" s="11" t="str">
        <x:v>SUPERSEDED_OR_OPTIONAL_DNP: see new H entries; not installed twice</x:v>
      </x:c>
      <x:c r="T82" s="11" t="str">
        <x:v>UNKNOWN</x:v>
      </x:c>
      <x:c r="U82" s="11" t="str">
        <x:v>背面电子件 / 正面TX RX</x:v>
      </x:c>
      <x:c r="V82" s="11" t="str">
        <x:v>HOLD</x:v>
      </x:c>
    </x:row>
    <x:row r="83" ht="64" customHeight="1">
      <x:c r="A83" s="11" t="str">
        <x:v>NS-003</x:v>
      </x:c>
      <x:c r="B83" s="11" t="str">
        <x:v>Cold-start/rearm latch and power-good AND cutoff controller</x:v>
      </x:c>
      <x:c r="C83" s="11" t="str">
        <x:v>PART_SELECTION_HOLD</x:v>
      </x:c>
      <x:c r="D83" s="11" t="str">
        <x:v>UNKNOWN_VERIFY</x:v>
      </x:c>
      <x:c r="E83" s="13" t="n">
        <x:v>0</x:v>
      </x:c>
      <x:c r="F83" s="14" t="n">
        <x:v>0.1</x:v>
      </x:c>
      <x:c r="G83" s="13" t="n">
        <x:f>ROUNDUP(E83*(1+F83),0)</x:f>
        <x:v>0</x:v>
      </x:c>
      <x:c r="H83" s="11" t="str"/>
      <x:c r="I83" s="11" t="str">
        <x:v>UNKNOWN; Pin1/EP原生库待核</x:v>
      </x:c>
      <x:c r="J83" s="11" t="str">
        <x:v>LOGIC/12V_DOMAIN_REVIEW</x:v>
      </x:c>
      <x:c r="K83" s="11" t="str">
        <x:v>UNKNOWN</x:v>
      </x:c>
      <x:c r="L83" s="11" t="str">
        <x:v>LOCAL12V / 5V / 3V3</x:v>
      </x:c>
      <x:c r="M83" s="11" t="str">
        <x:v>Current user GateC3/D1</x:v>
      </x:c>
      <x:c r="N83" s="11" t="str">
        <x:v>授权渠道待选；不默认替代</x:v>
      </x:c>
      <x:c r="O83" s="11" t="str">
        <x:v>UNKNOWN_VERIFY</x:v>
      </x:c>
      <x:c r="P83" s="11" t="str">
        <x:v>2026-10-11</x:v>
      </x:c>
      <x:c r="Q83" s="11" t="str">
        <x:v>INHERITED_CANDIDATE_REQUIRES_NATIVE_PIN_REVIEW</x:v>
      </x:c>
      <x:c r="R83" s="11" t="str">
        <x:v>User v5 scope; no procurement permission</x:v>
      </x:c>
      <x:c r="S83" s="11" t="str">
        <x:v>SUPERSEDED_OR_OPTIONAL_DNP: see new H entries; not installed twice</x:v>
      </x:c>
      <x:c r="T83" s="11" t="str">
        <x:v>UNKNOWN</x:v>
      </x:c>
      <x:c r="U83" s="11" t="str">
        <x:v>背面电子件 / 正面TX RX</x:v>
      </x:c>
      <x:c r="V83" s="11" t="str">
        <x:v>HOLD</x:v>
      </x:c>
    </x:row>
    <x:row r="84" ht="64" customHeight="1">
      <x:c r="A84" s="11" t="str">
        <x:v>NS-004</x:v>
      </x:c>
      <x:c r="B84" s="11" t="str">
        <x:v>Driver rail discharge/bleed and reset default-off network</x:v>
      </x:c>
      <x:c r="C84" s="11" t="str">
        <x:v>PART_SELECTION_HOLD</x:v>
      </x:c>
      <x:c r="D84" s="11" t="str">
        <x:v>UNKNOWN_VERIFY</x:v>
      </x:c>
      <x:c r="E84" s="13" t="n">
        <x:v>1</x:v>
      </x:c>
      <x:c r="F84" s="14" t="n">
        <x:v>0.1</x:v>
      </x:c>
      <x:c r="G84" s="13" t="n">
        <x:f>ROUNDUP(E84*(1+F84),0)</x:f>
        <x:v>2</x:v>
      </x:c>
      <x:c r="H84" s="11" t="str">
        <x:v>UP_NS004_001</x:v>
      </x:c>
      <x:c r="I84" s="11" t="str">
        <x:v>UNKNOWN; Pin1/EP原生库待核</x:v>
      </x:c>
      <x:c r="J84" s="11" t="str">
        <x:v>LOGIC/12V_DOMAIN_REVIEW</x:v>
      </x:c>
      <x:c r="K84" s="11" t="str">
        <x:v>UNKNOWN</x:v>
      </x:c>
      <x:c r="L84" s="11" t="str">
        <x:v>LOCAL12V / 5V / 3V3</x:v>
      </x:c>
      <x:c r="M84" s="11" t="str">
        <x:v>Current user GateC3/D1</x:v>
      </x:c>
      <x:c r="N84" s="11" t="str">
        <x:v>授权渠道待选；不默认替代</x:v>
      </x:c>
      <x:c r="O84" s="11" t="str">
        <x:v>UNKNOWN_VERIFY</x:v>
      </x:c>
      <x:c r="P84" s="11" t="str">
        <x:v>2026-10-11</x:v>
      </x:c>
      <x:c r="Q84" s="11" t="str">
        <x:v>INHERITED_CANDIDATE_REQUIRES_NATIVE_PIN_REVIEW</x:v>
      </x:c>
      <x:c r="R84" s="11" t="str">
        <x:v>User v5 scope; no procurement permission</x:v>
      </x:c>
      <x:c r="S84" s="11" t="str">
        <x:v>Power-loss/cable/unpowered/clock-stop physical injection required</x:v>
      </x:c>
      <x:c r="T84" s="11" t="str">
        <x:v>UNKNOWN</x:v>
      </x:c>
      <x:c r="U84" s="11" t="str">
        <x:v>背面电子件 / 正面TX RX</x:v>
      </x:c>
      <x:c r="V84" s="11" t="str">
        <x:v>HOLD</x:v>
      </x:c>
    </x:row>
    <x:row r="85" ht="64" customHeight="1">
      <x:c r="A85" s="11" t="str">
        <x:v>H-001</x:v>
      </x:c>
      <x:c r="B85" s="11" t="str">
        <x:v>中央 Type-C 5V Sink</x:v>
      </x:c>
      <x:c r="C85" s="11" t="str">
        <x:v>STUSB4500LQTR</x:v>
      </x:c>
      <x:c r="D85" s="11" t="str">
        <x:v>STMicroelectronics</x:v>
      </x:c>
      <x:c r="E85" s="13" t="n">
        <x:v>0</x:v>
      </x:c>
      <x:c r="F85" s="14" t="n">
        <x:v>0.1</x:v>
      </x:c>
      <x:c r="G85" s="13" t="n">
        <x:f>ROUNDUP(E85*(1+F85),0)</x:f>
        <x:v>0</x:v>
      </x:c>
      <x:c r="H85" s="11" t="str"/>
      <x:c r="I85" s="11" t="str">
        <x:v>QFN24_EP_VERIFY; Pin1/EP原生库待核</x:v>
      </x:c>
      <x:c r="J85" s="11" t="str">
        <x:v>SEE_POWER_DOMAIN_CONTRACT</x:v>
      </x:c>
      <x:c r="K85" s="11" t="str">
        <x:v>UNKNOWN</x:v>
      </x:c>
      <x:c r="L85" s="11" t="str">
        <x:v>LOCAL12V / 5V / 3V3</x:v>
      </x:c>
      <x:c r="M85" s="11" t="str">
        <x:v>https://www.st.com/resource/en/datasheet/stusb4500l.pdf</x:v>
      </x:c>
      <x:c r="N85" s="11" t="str">
        <x:v>授权渠道待选；不默认替代</x:v>
      </x:c>
      <x:c r="O85" s="11" t="str">
        <x:v>SEE_SOURCE_REGISTER</x:v>
      </x:c>
      <x:c r="P85" s="11" t="str">
        <x:v>2026-10-11</x:v>
      </x:c>
      <x:c r="Q85" s="11" t="str">
        <x:v>CANDIDATE</x:v>
      </x:c>
      <x:c r="R85" s="11" t="str">
        <x:v>User hardware design direction, electrical release pending</x:v>
      </x:c>
      <x:c r="S85" s="11" t="str">
        <x:v>CC default/1.5A/3A detection and load inhibit required</x:v>
      </x:c>
      <x:c r="T85" s="11" t="str">
        <x:v>UNKNOWN</x:v>
      </x:c>
      <x:c r="U85" s="11" t="str">
        <x:v>背面电子件 / 正面TX RX</x:v>
      </x:c>
      <x:c r="V85" s="11" t="str">
        <x:v>HOLD</x:v>
      </x:c>
    </x:row>
    <x:row r="86" ht="64" customHeight="1">
      <x:c r="A86" s="11" t="str">
        <x:v>H-002</x:v>
      </x:c>
      <x:c r="B86" s="11" t="str">
        <x:v>中央 Type-C 电源插座</x:v>
      </x:c>
      <x:c r="C86" s="11" t="str">
        <x:v>TYPE_C_RECEPTACLE_MPN_TBD</x:v>
      </x:c>
      <x:c r="D86" s="11" t="str">
        <x:v>UNKNOWN_VERIFY</x:v>
      </x:c>
      <x:c r="E86" s="13" t="n">
        <x:v>0</x:v>
      </x:c>
      <x:c r="F86" s="14" t="n">
        <x:v>0.1</x:v>
      </x:c>
      <x:c r="G86" s="13" t="n">
        <x:f>ROUNDUP(E86*(1+F86),0)</x:f>
        <x:v>0</x:v>
      </x:c>
      <x:c r="H86" s="11" t="str"/>
      <x:c r="I86" s="11" t="str">
        <x:v>NATIVE_FOOTPRINT_TBD; Pin1/EP原生库待核</x:v>
      </x:c>
      <x:c r="J86" s="11" t="str">
        <x:v>SEE_POWER_DOMAIN_CONTRACT</x:v>
      </x:c>
      <x:c r="K86" s="11" t="str">
        <x:v>UNKNOWN</x:v>
      </x:c>
      <x:c r="L86" s="11" t="str">
        <x:v>LOCAL12V / 5V / 3V3</x:v>
      </x:c>
      <x:c r="M86" s="11" t="str">
        <x:v>CANDIDATE</x:v>
      </x:c>
      <x:c r="N86" s="11" t="str">
        <x:v>授权渠道待选；不默认替代</x:v>
      </x:c>
      <x:c r="O86" s="11" t="str">
        <x:v>SEE_SOURCE_REGISTER</x:v>
      </x:c>
      <x:c r="P86" s="11" t="str">
        <x:v>2026-10-11</x:v>
      </x:c>
      <x:c r="Q86" s="11" t="str">
        <x:v>CANDIDATE</x:v>
      </x:c>
      <x:c r="R86" s="11" t="str">
        <x:v>User hardware design direction, electrical release pending</x:v>
      </x:c>
      <x:c r="S86" s="11" t="str">
        <x:v>Pin/native library/electrical review required</x:v>
      </x:c>
      <x:c r="T86" s="11" t="str">
        <x:v>UNKNOWN</x:v>
      </x:c>
      <x:c r="U86" s="11" t="str">
        <x:v>背面电子件 / 正面TX RX</x:v>
      </x:c>
      <x:c r="V86" s="11" t="str">
        <x:v>HOLD</x:v>
      </x:c>
    </x:row>
    <x:row r="87" ht="64" customHeight="1">
      <x:c r="A87" s="11" t="str">
        <x:v>H-003</x:v>
      </x:c>
      <x:c r="B87" s="11" t="str">
        <x:v>阵列 DC5.5x2.5 插座</x:v>
      </x:c>
      <x:c r="C87" s="11" t="str">
        <x:v>PJ-002BH</x:v>
      </x:c>
      <x:c r="D87" s="11" t="str">
        <x:v>Same Sky</x:v>
      </x:c>
      <x:c r="E87" s="13" t="n">
        <x:v>1</x:v>
      </x:c>
      <x:c r="F87" s="14" t="n">
        <x:v>0.1</x:v>
      </x:c>
      <x:c r="G87" s="13" t="n">
        <x:f>ROUNDUP(E87*(1+F87),0)</x:f>
        <x:v>2</x:v>
      </x:c>
      <x:c r="H87" s="11" t="str">
        <x:v>UP_H003_001</x:v>
      </x:c>
      <x:c r="I87" s="11" t="str">
        <x:v>THT3_SWITCH_CONTACT; Pin1/EP原生库待核</x:v>
      </x:c>
      <x:c r="J87" s="11" t="str">
        <x:v>SEE_POWER_DOMAIN_CONTRACT</x:v>
      </x:c>
      <x:c r="K87" s="11" t="str">
        <x:v>UNKNOWN</x:v>
      </x:c>
      <x:c r="L87" s="11" t="str">
        <x:v>LOCAL12V / 5V / 3V3</x:v>
      </x:c>
      <x:c r="M87" s="11" t="str">
        <x:v>https://www.sameskydevices.com/product/resource/pj-002bh.pdf</x:v>
      </x:c>
      <x:c r="N87" s="11" t="str">
        <x:v>授权渠道待选；不默认替代</x:v>
      </x:c>
      <x:c r="O87" s="11" t="str">
        <x:v>SEE_SOURCE_REGISTER</x:v>
      </x:c>
      <x:c r="P87" s="11" t="str">
        <x:v>2026-10-11</x:v>
      </x:c>
      <x:c r="Q87" s="11" t="str">
        <x:v>CANDIDATE</x:v>
      </x:c>
      <x:c r="R87" s="11" t="str">
        <x:v>User hardware design direction, electrical release pending</x:v>
      </x:c>
      <x:c r="S87" s="11" t="str">
        <x:v>5A nominal/30mohm; switch lug not independent source; temperature derating HOLD</x:v>
      </x:c>
      <x:c r="T87" s="11" t="str">
        <x:v>UNKNOWN</x:v>
      </x:c>
      <x:c r="U87" s="11" t="str">
        <x:v>背面电子件 / 正面TX RX</x:v>
      </x:c>
      <x:c r="V87" s="11" t="str">
        <x:v>HOLD</x:v>
      </x:c>
    </x:row>
    <x:row r="88" ht="64" customHeight="1">
      <x:c r="A88" s="11" t="str">
        <x:v>H-004</x:v>
      </x:c>
      <x:c r="B88" s="11" t="str">
        <x:v>阵列 eFuse</x:v>
      </x:c>
      <x:c r="C88" s="11" t="str">
        <x:v>TPS26631RGER</x:v>
      </x:c>
      <x:c r="D88" s="11" t="str">
        <x:v>Texas Instruments</x:v>
      </x:c>
      <x:c r="E88" s="13" t="n">
        <x:v>1</x:v>
      </x:c>
      <x:c r="F88" s="14" t="n">
        <x:v>0.1</x:v>
      </x:c>
      <x:c r="G88" s="13" t="n">
        <x:f>ROUNDUP(E88*(1+F88),0)</x:f>
        <x:v>2</x:v>
      </x:c>
      <x:c r="H88" s="11" t="str">
        <x:v>UP_H004_001</x:v>
      </x:c>
      <x:c r="I88" s="11" t="str">
        <x:v>VQFN24_RGE_EP; Pin1/EP原生库待核</x:v>
      </x:c>
      <x:c r="J88" s="11" t="str">
        <x:v>SEE_POWER_DOMAIN_CONTRACT</x:v>
      </x:c>
      <x:c r="K88" s="11" t="str">
        <x:v>UNKNOWN</x:v>
      </x:c>
      <x:c r="L88" s="11" t="str">
        <x:v>LOCAL12V / 5V / 3V3</x:v>
      </x:c>
      <x:c r="M88" s="11" t="str">
        <x:v>https://www.ti.com/lit/ds/symlink/tps2663.pdf</x:v>
      </x:c>
      <x:c r="N88" s="11" t="str">
        <x:v>授权渠道待选；不默认替代</x:v>
      </x:c>
      <x:c r="O88" s="11" t="str">
        <x:v>SEE_SOURCE_REGISTER</x:v>
      </x:c>
      <x:c r="P88" s="11" t="str">
        <x:v>2026-10-11</x:v>
      </x:c>
      <x:c r="Q88" s="11" t="str">
        <x:v>CANDIDATE</x:v>
      </x:c>
      <x:c r="R88" s="11" t="str">
        <x:v>User hardware design direction, electrical release pending</x:v>
      </x:c>
      <x:c r="S88" s="11" t="str">
        <x:v>2x pulse support; RILIM/UVLO/OVP/fuse coordination HOLD, not automatic5A setting</x:v>
      </x:c>
      <x:c r="T88" s="11" t="str">
        <x:v>UNKNOWN</x:v>
      </x:c>
      <x:c r="U88" s="11" t="str">
        <x:v>背面电子件 / 正面TX RX</x:v>
      </x:c>
      <x:c r="V88" s="11" t="str">
        <x:v>HOLD</x:v>
      </x:c>
    </x:row>
    <x:row r="89" ht="64" customHeight="1">
      <x:c r="A89" s="11" t="str">
        <x:v>H-005</x:v>
      </x:c>
      <x:c r="B89" s="11" t="str">
        <x:v>中央 I2C 3域选择</x:v>
      </x:c>
      <x:c r="C89" s="11" t="str">
        <x:v>TCA9548APWR</x:v>
      </x:c>
      <x:c r="D89" s="11" t="str">
        <x:v>Texas Instruments</x:v>
      </x:c>
      <x:c r="E89" s="13" t="n">
        <x:v>0</x:v>
      </x:c>
      <x:c r="F89" s="14" t="n">
        <x:v>0.1</x:v>
      </x:c>
      <x:c r="G89" s="13" t="n">
        <x:f>ROUNDUP(E89*(1+F89),0)</x:f>
        <x:v>0</x:v>
      </x:c>
      <x:c r="H89" s="11" t="str"/>
      <x:c r="I89" s="11" t="str">
        <x:v>TSSOP24_PW; Pin1/EP原生库待核</x:v>
      </x:c>
      <x:c r="J89" s="11" t="str">
        <x:v>SEE_POWER_DOMAIN_CONTRACT</x:v>
      </x:c>
      <x:c r="K89" s="11" t="str">
        <x:v>UNKNOWN</x:v>
      </x:c>
      <x:c r="L89" s="11" t="str">
        <x:v>LOCAL12V / 5V / 3V3</x:v>
      </x:c>
      <x:c r="M89" s="11" t="str">
        <x:v>https://www.ti.com/lit/ds/symlink/tca9548a.pdf</x:v>
      </x:c>
      <x:c r="N89" s="11" t="str">
        <x:v>授权渠道待选；不默认替代</x:v>
      </x:c>
      <x:c r="O89" s="11" t="str">
        <x:v>SEE_SOURCE_REGISTER</x:v>
      </x:c>
      <x:c r="P89" s="11" t="str">
        <x:v>2026-10-11</x:v>
      </x:c>
      <x:c r="Q89" s="11" t="str">
        <x:v>CANDIDATE</x:v>
      </x:c>
      <x:c r="R89" s="11" t="str">
        <x:v>User hardware design direction, electrical release pending</x:v>
      </x:c>
      <x:c r="S89" s="11" t="str">
        <x:v>Independent RESET still required for selected stuck-low branch</x:v>
      </x:c>
      <x:c r="T89" s="11" t="str">
        <x:v>UNKNOWN</x:v>
      </x:c>
      <x:c r="U89" s="11" t="str">
        <x:v>背面电子件 / 正面TX RX</x:v>
      </x:c>
      <x:c r="V89" s="11" t="str">
        <x:v>HOLD</x:v>
      </x:c>
    </x:row>
    <x:row r="90" ht="64" customHeight="1">
      <x:c r="A90" s="11" t="str">
        <x:v>H-006</x:v>
      </x:c>
      <x:c r="B90" s="11" t="str">
        <x:v>已有B021覆盖三颗，无重复装配</x:v>
      </x:c>
      <x:c r="C90" s="11" t="str">
        <x:v>INA226AIDGSR</x:v>
      </x:c>
      <x:c r="D90" s="11" t="str">
        <x:v>Texas Instruments</x:v>
      </x:c>
      <x:c r="E90" s="13" t="n">
        <x:v>0</x:v>
      </x:c>
      <x:c r="F90" s="14" t="n">
        <x:v>0.1</x:v>
      </x:c>
      <x:c r="G90" s="13" t="n">
        <x:f>ROUNDUP(E90*(1+F90),0)</x:f>
        <x:v>0</x:v>
      </x:c>
      <x:c r="H90" s="11" t="str"/>
      <x:c r="I90" s="11" t="str">
        <x:v>VSSOP10_DGS; Pin1/EP原生库待核</x:v>
      </x:c>
      <x:c r="J90" s="11" t="str">
        <x:v>SEE_POWER_DOMAIN_CONTRACT</x:v>
      </x:c>
      <x:c r="K90" s="11" t="str">
        <x:v>UNKNOWN</x:v>
      </x:c>
      <x:c r="L90" s="11" t="str">
        <x:v>LOCAL12V / 5V / 3V3</x:v>
      </x:c>
      <x:c r="M90" s="11" t="str">
        <x:v>https://www.ti.com/lit/ds/symlink/ina226.pdf</x:v>
      </x:c>
      <x:c r="N90" s="11" t="str">
        <x:v>授权渠道待选；不默认替代</x:v>
      </x:c>
      <x:c r="O90" s="11" t="str">
        <x:v>SEE_SOURCE_REGISTER</x:v>
      </x:c>
      <x:c r="P90" s="11" t="str">
        <x:v>2026-10-11</x:v>
      </x:c>
      <x:c r="Q90" s="11" t="str">
        <x:v>CANDIDATE</x:v>
      </x:c>
      <x:c r="R90" s="11" t="str">
        <x:v>User hardware design direction, electrical release pending</x:v>
      </x:c>
      <x:c r="S90" s="11" t="str">
        <x:v>Pin/native library/electrical review required</x:v>
      </x:c>
      <x:c r="T90" s="11" t="str">
        <x:v>UNKNOWN</x:v>
      </x:c>
      <x:c r="U90" s="11" t="str">
        <x:v>背面电子件 / 正面TX RX</x:v>
      </x:c>
      <x:c r="V90" s="11" t="str">
        <x:v>HOLD</x:v>
      </x:c>
    </x:row>
    <x:row r="91" ht="64" customHeight="1">
      <x:c r="A91" s="11" t="str">
        <x:v>H-007</x:v>
      </x:c>
      <x:c r="B91" s="11" t="str">
        <x:v>被拒绝的标准看门狗备选DNP</x:v>
      </x:c>
      <x:c r="C91" s="11" t="str">
        <x:v>TPS3431SDRBR</x:v>
      </x:c>
      <x:c r="D91" s="11" t="str">
        <x:v>Texas Instruments</x:v>
      </x:c>
      <x:c r="E91" s="13" t="n">
        <x:v>0</x:v>
      </x:c>
      <x:c r="F91" s="14" t="n">
        <x:v>0.1</x:v>
      </x:c>
      <x:c r="G91" s="13" t="n">
        <x:f>ROUNDUP(E91*(1+F91),0)</x:f>
        <x:v>0</x:v>
      </x:c>
      <x:c r="H91" s="11" t="str"/>
      <x:c r="I91" s="11" t="str">
        <x:v>VSON8_DRB_EP; Pin1/EP原生库待核</x:v>
      </x:c>
      <x:c r="J91" s="11" t="str">
        <x:v>SEE_POWER_DOMAIN_CONTRACT</x:v>
      </x:c>
      <x:c r="K91" s="11" t="str">
        <x:v>UNKNOWN</x:v>
      </x:c>
      <x:c r="L91" s="11" t="str">
        <x:v>LOCAL12V / 5V / 3V3</x:v>
      </x:c>
      <x:c r="M91" s="11" t="str">
        <x:v>https://www.ti.com/lit/ds/symlink/tps3431.pdf</x:v>
      </x:c>
      <x:c r="N91" s="11" t="str">
        <x:v>授权渠道待选；不默认替代</x:v>
      </x:c>
      <x:c r="O91" s="11" t="str">
        <x:v>SEE_SOURCE_REGISTER</x:v>
      </x:c>
      <x:c r="P91" s="11" t="str">
        <x:v>2026-10-11</x:v>
      </x:c>
      <x:c r="Q91" s="11" t="str">
        <x:v>CANDIDATE</x:v>
      </x:c>
      <x:c r="R91" s="11" t="str">
        <x:v>User hardware design direction, electrical release pending</x:v>
      </x:c>
      <x:c r="S91" s="11" t="str">
        <x:v>STANDARD watchdog; not a window watchdog. Retain window requirement and B009 pending qualification</x:v>
      </x:c>
      <x:c r="T91" s="11" t="str">
        <x:v>UNKNOWN</x:v>
      </x:c>
      <x:c r="U91" s="11" t="str">
        <x:v>背面电子件 / 正面TX RX</x:v>
      </x:c>
      <x:c r="V91" s="11" t="str">
        <x:v>HOLD</x:v>
      </x:c>
    </x:row>
    <x:row r="92" ht="64" customHeight="1">
      <x:c r="A92" s="11" t="str">
        <x:v>H-008</x:v>
      </x:c>
      <x:c r="B92" s="11" t="str">
        <x:v>B027/B028已计两颗Buck，无重复装配</x:v>
      </x:c>
      <x:c r="C92" s="11" t="str">
        <x:v>TPS54202DDCR</x:v>
      </x:c>
      <x:c r="D92" s="11" t="str">
        <x:v>Texas Instruments</x:v>
      </x:c>
      <x:c r="E92" s="13" t="n">
        <x:v>0</x:v>
      </x:c>
      <x:c r="F92" s="14" t="n">
        <x:v>0.1</x:v>
      </x:c>
      <x:c r="G92" s="13" t="n">
        <x:f>ROUNDUP(E92*(1+F92),0)</x:f>
        <x:v>0</x:v>
      </x:c>
      <x:c r="H92" s="11" t="str"/>
      <x:c r="I92" s="11" t="str">
        <x:v>SOT23_6_DDC; Pin1/EP原生库待核</x:v>
      </x:c>
      <x:c r="J92" s="11" t="str">
        <x:v>SEE_POWER_DOMAIN_CONTRACT</x:v>
      </x:c>
      <x:c r="K92" s="11" t="str">
        <x:v>UNKNOWN</x:v>
      </x:c>
      <x:c r="L92" s="11" t="str">
        <x:v>LOCAL12V / 5V / 3V3</x:v>
      </x:c>
      <x:c r="M92" s="11" t="str">
        <x:v>https://www.ti.com/lit/ds/symlink/tps54202.pdf</x:v>
      </x:c>
      <x:c r="N92" s="11" t="str">
        <x:v>授权渠道待选；不默认替代</x:v>
      </x:c>
      <x:c r="O92" s="11" t="str">
        <x:v>SEE_SOURCE_REGISTER</x:v>
      </x:c>
      <x:c r="P92" s="11" t="str">
        <x:v>2026-10-11</x:v>
      </x:c>
      <x:c r="Q92" s="11" t="str">
        <x:v>CANDIDATE</x:v>
      </x:c>
      <x:c r="R92" s="11" t="str">
        <x:v>User hardware design direction, electrical release pending</x:v>
      </x:c>
      <x:c r="S92" s="11" t="str">
        <x:v>B027/B028 independent buck rails; not central5V LDO</x:v>
      </x:c>
      <x:c r="T92" s="11" t="str">
        <x:v>UNKNOWN</x:v>
      </x:c>
      <x:c r="U92" s="11" t="str">
        <x:v>背面电子件 / 正面TX RX</x:v>
      </x:c>
      <x:c r="V92" s="11" t="str">
        <x:v>HOLD</x:v>
      </x:c>
    </x:row>
    <x:row r="93" ht="64" customHeight="1">
      <x:c r="A93" s="11" t="str">
        <x:v>H-009</x:v>
      </x:c>
      <x:c r="B93" s="11" t="str">
        <x:v>默认OFF TX电源切断及反灌阻断</x:v>
      </x:c>
      <x:c r="C93" s="11" t="str">
        <x:v>BACK_TO_BACK_FET_AND_DRIVER_TBD</x:v>
      </x:c>
      <x:c r="D93" s="11" t="str">
        <x:v>UNKNOWN_VERIFY</x:v>
      </x:c>
      <x:c r="E93" s="13" t="n">
        <x:v>1</x:v>
      </x:c>
      <x:c r="F93" s="14" t="n">
        <x:v>0.1</x:v>
      </x:c>
      <x:c r="G93" s="13" t="n">
        <x:f>ROUNDUP(E93*(1+F93),0)</x:f>
        <x:v>2</x:v>
      </x:c>
      <x:c r="H93" s="11" t="str">
        <x:v>UP_H009_001</x:v>
      </x:c>
      <x:c r="I93" s="11" t="str">
        <x:v>PIN_REVIEW_TBD; Pin1/EP原生库待核</x:v>
      </x:c>
      <x:c r="J93" s="11" t="str">
        <x:v>SEE_POWER_DOMAIN_CONTRACT</x:v>
      </x:c>
      <x:c r="K93" s="11" t="str">
        <x:v>UNKNOWN</x:v>
      </x:c>
      <x:c r="L93" s="11" t="str">
        <x:v>LOCAL12V / 5V / 3V3</x:v>
      </x:c>
      <x:c r="M93" s="11" t="str">
        <x:v>CANDIDATE_ENGINEERING_REQUIREMENT</x:v>
      </x:c>
      <x:c r="N93" s="11" t="str">
        <x:v>授权渠道待选；不默认替代</x:v>
      </x:c>
      <x:c r="O93" s="11" t="str">
        <x:v>SEE_SOURCE_REGISTER</x:v>
      </x:c>
      <x:c r="P93" s="11" t="str">
        <x:v>2026-10-11</x:v>
      </x:c>
      <x:c r="Q93" s="11" t="str">
        <x:v>CANDIDATE</x:v>
      </x:c>
      <x:c r="R93" s="11" t="str">
        <x:v>User hardware design direction, electrical release pending</x:v>
      </x:c>
      <x:c r="S93" s="11" t="str">
        <x:v>Independent of PL; gate pulldown and power-off paths required</x:v>
      </x:c>
      <x:c r="T93" s="11" t="str">
        <x:v>UNKNOWN</x:v>
      </x:c>
      <x:c r="U93" s="11" t="str">
        <x:v>背面电子件 / 正面TX RX</x:v>
      </x:c>
      <x:c r="V93" s="11" t="str">
        <x:v>HOLD</x:v>
      </x:c>
    </x:row>
    <x:row r="94" ht="64" customHeight="1">
      <x:c r="A94" s="11" t="str">
        <x:v>H-010</x:v>
      </x:c>
      <x:c r="B94" s="11" t="str">
        <x:v>阵列协调保护组</x:v>
      </x:c>
      <x:c r="C94" s="11" t="str">
        <x:v>TVS_FUSE_SET_TBD</x:v>
      </x:c>
      <x:c r="D94" s="11" t="str">
        <x:v>UNKNOWN_VERIFY</x:v>
      </x:c>
      <x:c r="E94" s="13" t="n">
        <x:v>1</x:v>
      </x:c>
      <x:c r="F94" s="14" t="n">
        <x:v>0.1</x:v>
      </x:c>
      <x:c r="G94" s="13" t="n">
        <x:f>ROUNDUP(E94*(1+F94),0)</x:f>
        <x:v>2</x:v>
      </x:c>
      <x:c r="H94" s="11" t="str">
        <x:v>UP_H010_001</x:v>
      </x:c>
      <x:c r="I94" s="11" t="str">
        <x:v>VALUES_TBD; Pin1/EP原生库待核</x:v>
      </x:c>
      <x:c r="J94" s="11" t="str">
        <x:v>SEE_POWER_DOMAIN_CONTRACT</x:v>
      </x:c>
      <x:c r="K94" s="11" t="str">
        <x:v>UNKNOWN</x:v>
      </x:c>
      <x:c r="L94" s="11" t="str">
        <x:v>LOCAL12V / 5V / 3V3</x:v>
      </x:c>
      <x:c r="M94" s="11" t="str">
        <x:v>CANDIDATE_ENGINEERING_REQUIREMENT</x:v>
      </x:c>
      <x:c r="N94" s="11" t="str">
        <x:v>授权渠道待选；不默认替代</x:v>
      </x:c>
      <x:c r="O94" s="11" t="str">
        <x:v>SEE_SOURCE_REGISTER</x:v>
      </x:c>
      <x:c r="P94" s="11" t="str">
        <x:v>2026-10-11</x:v>
      </x:c>
      <x:c r="Q94" s="11" t="str">
        <x:v>CANDIDATE</x:v>
      </x:c>
      <x:c r="R94" s="11" t="str">
        <x:v>User hardware design direction, electrical release pending</x:v>
      </x:c>
      <x:c r="S94" s="11" t="str">
        <x:v>No SMBJ20A assumption; eFuse67V and driver18V transient envelope separate</x:v>
      </x:c>
      <x:c r="T94" s="11" t="str">
        <x:v>UNKNOWN</x:v>
      </x:c>
      <x:c r="U94" s="11" t="str">
        <x:v>背面电子件 / 正面TX RX</x:v>
      </x:c>
      <x:c r="V94" s="11" t="str">
        <x:v>HOLD</x:v>
      </x:c>
    </x:row>
    <x:row r="95" ht="64" customHeight="1">
      <x:c r="A95" s="11" t="str">
        <x:v>H-011</x:v>
      </x:c>
      <x:c r="B95" s="11" t="str">
        <x:v>硬件过温及人工重启锁存</x:v>
      </x:c>
      <x:c r="C95" s="11" t="str">
        <x:v>HOTSPOT_COMPARATOR_LATCH_REARM_TBD</x:v>
      </x:c>
      <x:c r="D95" s="11" t="str">
        <x:v>UNKNOWN_VERIFY</x:v>
      </x:c>
      <x:c r="E95" s="13" t="n">
        <x:v>1</x:v>
      </x:c>
      <x:c r="F95" s="14" t="n">
        <x:v>0.1</x:v>
      </x:c>
      <x:c r="G95" s="13" t="n">
        <x:f>ROUNDUP(E95*(1+F95),0)</x:f>
        <x:v>2</x:v>
      </x:c>
      <x:c r="H95" s="11" t="str">
        <x:v>UP_H011_001</x:v>
      </x:c>
      <x:c r="I95" s="11" t="str">
        <x:v>PIN_REVIEW_TBD; Pin1/EP原生库待核</x:v>
      </x:c>
      <x:c r="J95" s="11" t="str">
        <x:v>SEE_POWER_DOMAIN_CONTRACT</x:v>
      </x:c>
      <x:c r="K95" s="11" t="str">
        <x:v>UNKNOWN</x:v>
      </x:c>
      <x:c r="L95" s="11" t="str">
        <x:v>LOCAL12V / 5V / 3V3</x:v>
      </x:c>
      <x:c r="M95" s="11" t="str">
        <x:v>CANDIDATE_ENGINEERING_REQUIREMENT</x:v>
      </x:c>
      <x:c r="N95" s="11" t="str">
        <x:v>授权渠道待选；不默认替代</x:v>
      </x:c>
      <x:c r="O95" s="11" t="str">
        <x:v>SEE_SOURCE_REGISTER</x:v>
      </x:c>
      <x:c r="P95" s="11" t="str">
        <x:v>2026-10-11</x:v>
      </x:c>
      <x:c r="Q95" s="11" t="str">
        <x:v>CANDIDATE</x:v>
      </x:c>
      <x:c r="R95" s="11" t="str">
        <x:v>User hardware design direction, electrical release pending</x:v>
      </x:c>
      <x:c r="S95" s="11" t="str">
        <x:v>TMP117/I2C is not independent hard cutoff</x:v>
      </x:c>
      <x:c r="T95" s="11" t="str">
        <x:v>UNKNOWN</x:v>
      </x:c>
      <x:c r="U95" s="11" t="str">
        <x:v>背面电子件 / 正面TX RX</x:v>
      </x:c>
      <x:c r="V95" s="11" t="str">
        <x:v>HOLD</x:v>
      </x:c>
    </x:row>
    <x:row r="96" ht="64" customHeight="1">
      <x:c r="A96" s="11" t="str">
        <x:v>H-012</x:v>
      </x:c>
      <x:c r="B96" s="11" t="str">
        <x:v>中央5V保护及ADC供电调节</x:v>
      </x:c>
      <x:c r="C96" s="11" t="str">
        <x:v>CENTRAL_USB_EFUSE_BUCKBOOST_TBD</x:v>
      </x:c>
      <x:c r="D96" s="11" t="str">
        <x:v>UNKNOWN_VERIFY</x:v>
      </x:c>
      <x:c r="E96" s="13" t="n">
        <x:v>0</x:v>
      </x:c>
      <x:c r="F96" s="14" t="n">
        <x:v>0.1</x:v>
      </x:c>
      <x:c r="G96" s="13" t="n">
        <x:f>ROUNDUP(E96*(1+F96),0)</x:f>
        <x:v>0</x:v>
      </x:c>
      <x:c r="H96" s="11" t="str"/>
      <x:c r="I96" s="11" t="str">
        <x:v>PIN_REVIEW_TBD; Pin1/EP原生库待核</x:v>
      </x:c>
      <x:c r="J96" s="11" t="str">
        <x:v>SEE_POWER_DOMAIN_CONTRACT</x:v>
      </x:c>
      <x:c r="K96" s="11" t="str">
        <x:v>UNKNOWN</x:v>
      </x:c>
      <x:c r="L96" s="11" t="str">
        <x:v>LOCAL12V / 5V / 3V3</x:v>
      </x:c>
      <x:c r="M96" s="11" t="str">
        <x:v>CANDIDATE_ENGINEERING_REQUIREMENT</x:v>
      </x:c>
      <x:c r="N96" s="11" t="str">
        <x:v>授权渠道待选；不默认替代</x:v>
      </x:c>
      <x:c r="O96" s="11" t="str">
        <x:v>SEE_SOURCE_REGISTER</x:v>
      </x:c>
      <x:c r="P96" s="11" t="str">
        <x:v>2026-10-11</x:v>
      </x:c>
      <x:c r="Q96" s="11" t="str">
        <x:v>CANDIDATE</x:v>
      </x:c>
      <x:c r="R96" s="11" t="str">
        <x:v>User hardware design direction, electrical release pending</x:v>
      </x:c>
      <x:c r="S96" s="11" t="str">
        <x:v>VBUSmin minus cable and switch may violate4.75V ADC AVCC</x:v>
      </x:c>
      <x:c r="T96" s="11" t="str">
        <x:v>UNKNOWN</x:v>
      </x:c>
      <x:c r="U96" s="11" t="str">
        <x:v>背面电子件 / 正面TX RX</x:v>
      </x:c>
      <x:c r="V96" s="11" t="str">
        <x:v>HOLD</x:v>
      </x:c>
    </x:row>
    <x:row r="97" ht="64" customHeight="1">
      <x:c r="A97" s="11" t="str">
        <x:v>H-013</x:v>
      </x:c>
      <x:c r="B97" s="11" t="str">
        <x:v>双侧断电高阻信号缓冲</x:v>
      </x:c>
      <x:c r="C97" s="11" t="str">
        <x:v>IOFF_BUFFER_SET_TBD</x:v>
      </x:c>
      <x:c r="D97" s="11" t="str">
        <x:v>UNKNOWN_VERIFY</x:v>
      </x:c>
      <x:c r="E97" s="13" t="n">
        <x:v>1</x:v>
      </x:c>
      <x:c r="F97" s="14" t="n">
        <x:v>0.1</x:v>
      </x:c>
      <x:c r="G97" s="13" t="n">
        <x:f>ROUNDUP(E97*(1+F97),0)</x:f>
        <x:v>2</x:v>
      </x:c>
      <x:c r="H97" s="11" t="str">
        <x:v>UP_H013_001</x:v>
      </x:c>
      <x:c r="I97" s="11" t="str">
        <x:v>PIN_REVIEW_TBD; Pin1/EP原生库待核</x:v>
      </x:c>
      <x:c r="J97" s="11" t="str">
        <x:v>SEE_POWER_DOMAIN_CONTRACT</x:v>
      </x:c>
      <x:c r="K97" s="11" t="str">
        <x:v>UNKNOWN</x:v>
      </x:c>
      <x:c r="L97" s="11" t="str">
        <x:v>LOCAL12V / 5V / 3V3</x:v>
      </x:c>
      <x:c r="M97" s="11" t="str">
        <x:v>CANDIDATE_ENGINEERING_REQUIREMENT</x:v>
      </x:c>
      <x:c r="N97" s="11" t="str">
        <x:v>授权渠道待选；不默认替代</x:v>
      </x:c>
      <x:c r="O97" s="11" t="str">
        <x:v>SEE_SOURCE_REGISTER</x:v>
      </x:c>
      <x:c r="P97" s="11" t="str">
        <x:v>2026-10-11</x:v>
      </x:c>
      <x:c r="Q97" s="11" t="str">
        <x:v>CANDIDATE</x:v>
      </x:c>
      <x:c r="R97" s="11" t="str">
        <x:v>User hardware design direction, electrical release pending</x:v>
      </x:c>
      <x:c r="S97" s="11" t="str">
        <x:v>Every crossing needs Ioff, OE default-off and ground-return review</x:v>
      </x:c>
      <x:c r="T97" s="11" t="str">
        <x:v>UNKNOWN</x:v>
      </x:c>
      <x:c r="U97" s="11" t="str">
        <x:v>背面电子件 / 正面TX RX</x:v>
      </x:c>
      <x:c r="V97" s="11" t="str">
        <x:v>HOLD</x:v>
      </x:c>
    </x:row>
    <x:row r="98" ht="64" customHeight="1">
      <x:c r="A98" s="11" t="str">
        <x:v>H-014</x:v>
      </x:c>
      <x:c r="B98" s="11" t="str">
        <x:v>外部急停及人工重启，板座见NS001</x:v>
      </x:c>
      <x:c r="C98" s="11" t="str">
        <x:v>NC_ESTOP_MANUAL_REARM_TBD</x:v>
      </x:c>
      <x:c r="D98" s="11" t="str">
        <x:v>UNKNOWN_VERIFY</x:v>
      </x:c>
      <x:c r="E98" s="13" t="n">
        <x:v>0</x:v>
      </x:c>
      <x:c r="F98" s="14" t="n">
        <x:v>0.1</x:v>
      </x:c>
      <x:c r="G98" s="13" t="n">
        <x:f>ROUNDUP(E98*(1+F98),0)</x:f>
        <x:v>0</x:v>
      </x:c>
      <x:c r="H98" s="11" t="str"/>
      <x:c r="I98" s="11" t="str">
        <x:v>KEYED_TBD; Pin1/EP原生库待核</x:v>
      </x:c>
      <x:c r="J98" s="11" t="str">
        <x:v>SEE_POWER_DOMAIN_CONTRACT</x:v>
      </x:c>
      <x:c r="K98" s="11" t="str">
        <x:v>UNKNOWN</x:v>
      </x:c>
      <x:c r="L98" s="11" t="str">
        <x:v>LOCAL12V / 5V / 3V3</x:v>
      </x:c>
      <x:c r="M98" s="11" t="str">
        <x:v>CANDIDATE_ENGINEERING_REQUIREMENT</x:v>
      </x:c>
      <x:c r="N98" s="11" t="str">
        <x:v>授权渠道待选；不默认替代</x:v>
      </x:c>
      <x:c r="O98" s="11" t="str">
        <x:v>SEE_SOURCE_REGISTER</x:v>
      </x:c>
      <x:c r="P98" s="11" t="str">
        <x:v>2026-10-11</x:v>
      </x:c>
      <x:c r="Q98" s="11" t="str">
        <x:v>CANDIDATE</x:v>
      </x:c>
      <x:c r="R98" s="11" t="str">
        <x:v>User hardware design direction, electrical release pending</x:v>
      </x:c>
      <x:c r="S98" s="11" t="str">
        <x:v>Break any wire forces local power-off; fault removal alone cannot restart</x:v>
      </x:c>
      <x:c r="T98" s="11" t="str">
        <x:v>UNKNOWN</x:v>
      </x:c>
      <x:c r="U98" s="11" t="str">
        <x:v>背面电子件 / 正面TX RX</x:v>
      </x:c>
      <x:c r="V98" s="11" t="str">
        <x:v>HOLD</x:v>
      </x:c>
    </x:row>
    <x:row r="99" ht="64" customHeight="1">
      <x:c r="A99" s="11" t="str">
        <x:v>H-015</x:v>
      </x:c>
      <x:c r="B99" s="11" t="str">
        <x:v>八路接收屏蔽线束</x:v>
      </x:c>
      <x:c r="C99" s="11" t="str">
        <x:v>SHIELDED_RX_HARNESS_TBD</x:v>
      </x:c>
      <x:c r="D99" s="11" t="str">
        <x:v>UNKNOWN_VERIFY</x:v>
      </x:c>
      <x:c r="E99" s="13" t="n">
        <x:v>0</x:v>
      </x:c>
      <x:c r="F99" s="14" t="n">
        <x:v>0.1</x:v>
      </x:c>
      <x:c r="G99" s="13" t="n">
        <x:f>ROUNDUP(E99*(1+F99),0)</x:f>
        <x:v>0</x:v>
      </x:c>
      <x:c r="H99" s="11" t="str"/>
      <x:c r="I99" s="11" t="str">
        <x:v>KEYED_TBD; Pin1/EP原生库待核</x:v>
      </x:c>
      <x:c r="J99" s="11" t="str">
        <x:v>SEE_POWER_DOMAIN_CONTRACT</x:v>
      </x:c>
      <x:c r="K99" s="11" t="str">
        <x:v>UNKNOWN</x:v>
      </x:c>
      <x:c r="L99" s="11" t="str">
        <x:v>LOCAL12V / 5V / 3V3</x:v>
      </x:c>
      <x:c r="M99" s="11" t="str">
        <x:v>CANDIDATE_ENGINEERING_REQUIREMENT</x:v>
      </x:c>
      <x:c r="N99" s="11" t="str">
        <x:v>授权渠道待选；不默认替代</x:v>
      </x:c>
      <x:c r="O99" s="11" t="str">
        <x:v>SEE_SOURCE_REGISTER</x:v>
      </x:c>
      <x:c r="P99" s="11" t="str">
        <x:v>2026-10-11</x:v>
      </x:c>
      <x:c r="Q99" s="11" t="str">
        <x:v>CANDIDATE</x:v>
      </x:c>
      <x:c r="R99" s="11" t="str">
        <x:v>User hardware design direction, electrical release pending</x:v>
      </x:c>
      <x:c r="S99" s="11" t="str">
        <x:v>Local AFE outputs; no direct unprotected transducer toADC</x:v>
      </x:c>
      <x:c r="T99" s="11" t="str">
        <x:v>UNKNOWN</x:v>
      </x:c>
      <x:c r="U99" s="11" t="str">
        <x:v>背面电子件 / 正面TX RX</x:v>
      </x:c>
      <x:c r="V99" s="11" t="str">
        <x:v>HOLD</x:v>
      </x:c>
    </x:row>
    <x:row r="100" ht="64" customHeight="1">
      <x:c r="A100" s="11" t="str">
        <x:v>H-016</x:v>
      </x:c>
      <x:c r="B100" s="11" t="str">
        <x:v>两阵列数据/时钟/状态线束</x:v>
      </x:c>
      <x:c r="C100" s="11" t="str">
        <x:v>KEYED_SIGNAL_HARNESS_TBD</x:v>
      </x:c>
      <x:c r="D100" s="11" t="str">
        <x:v>UNKNOWN_VERIFY</x:v>
      </x:c>
      <x:c r="E100" s="13" t="n">
        <x:v>0</x:v>
      </x:c>
      <x:c r="F100" s="14" t="n">
        <x:v>0.1</x:v>
      </x:c>
      <x:c r="G100" s="13" t="n">
        <x:f>ROUNDUP(E100*(1+F100),0)</x:f>
        <x:v>0</x:v>
      </x:c>
      <x:c r="H100" s="11" t="str"/>
      <x:c r="I100" s="11" t="str">
        <x:v>RETURN_GROUND_TBD; Pin1/EP原生库待核</x:v>
      </x:c>
      <x:c r="J100" s="11" t="str">
        <x:v>SEE_POWER_DOMAIN_CONTRACT</x:v>
      </x:c>
      <x:c r="K100" s="11" t="str">
        <x:v>UNKNOWN</x:v>
      </x:c>
      <x:c r="L100" s="11" t="str">
        <x:v>LOCAL12V / 5V / 3V3</x:v>
      </x:c>
      <x:c r="M100" s="11" t="str">
        <x:v>CANDIDATE_ENGINEERING_REQUIREMENT</x:v>
      </x:c>
      <x:c r="N100" s="11" t="str">
        <x:v>授权渠道待选；不默认替代</x:v>
      </x:c>
      <x:c r="O100" s="11" t="str">
        <x:v>SEE_SOURCE_REGISTER</x:v>
      </x:c>
      <x:c r="P100" s="11" t="str">
        <x:v>2026-10-11</x:v>
      </x:c>
      <x:c r="Q100" s="11" t="str">
        <x:v>CANDIDATE</x:v>
      </x:c>
      <x:c r="R100" s="11" t="str">
        <x:v>User hardware design direction, electrical release pending</x:v>
      </x:c>
      <x:c r="S100" s="11" t="str">
        <x:v>66MHz is unqualified; no ribbon guarantee</x:v>
      </x:c>
      <x:c r="T100" s="11" t="str">
        <x:v>UNKNOWN</x:v>
      </x:c>
      <x:c r="U100" s="11" t="str">
        <x:v>背面电子件 / 正面TX RX</x:v>
      </x:c>
      <x:c r="V100" s="11" t="str">
        <x:v>HOLD</x:v>
      </x:c>
    </x:row>
    <x:row r="101" ht="64" customHeight="1">
      <x:c r="A101" s="11" t="str">
        <x:v>H-017</x:v>
      </x:c>
      <x:c r="B101" s="11" t="str">
        <x:v>12V60W电源候选</x:v>
      </x:c>
      <x:c r="C101" s="11" t="str">
        <x:v>GST60A12-P1M</x:v>
      </x:c>
      <x:c r="D101" s="11" t="str">
        <x:v>UNKNOWN_VERIFY</x:v>
      </x:c>
      <x:c r="E101" s="13" t="n">
        <x:v>0</x:v>
      </x:c>
      <x:c r="F101" s="14" t="n">
        <x:v>0.1</x:v>
      </x:c>
      <x:c r="G101" s="13" t="n">
        <x:f>ROUNDUP(E101*(1+F101),0)</x:f>
        <x:v>0</x:v>
      </x:c>
      <x:c r="H101" s="11" t="str"/>
      <x:c r="I101" s="11" t="str">
        <x:v>EXTERNAL_5P5x2P5; Pin1/EP原生库待核</x:v>
      </x:c>
      <x:c r="J101" s="11" t="str">
        <x:v>SEE_POWER_DOMAIN_CONTRACT</x:v>
      </x:c>
      <x:c r="K101" s="11" t="str">
        <x:v>UNKNOWN</x:v>
      </x:c>
      <x:c r="L101" s="11" t="str">
        <x:v>LOCAL12V / 5V / 3V3</x:v>
      </x:c>
      <x:c r="M101" s="11" t="str">
        <x:v>CANDIDATE_ENGINEERING_REQUIREMENT</x:v>
      </x:c>
      <x:c r="N101" s="11" t="str">
        <x:v>授权渠道待选；不默认替代</x:v>
      </x:c>
      <x:c r="O101" s="11" t="str">
        <x:v>SEE_SOURCE_REGISTER</x:v>
      </x:c>
      <x:c r="P101" s="11" t="str">
        <x:v>2026-10-11</x:v>
      </x:c>
      <x:c r="Q101" s="11" t="str">
        <x:v>CANDIDATE</x:v>
      </x:c>
      <x:c r="R101" s="11" t="str">
        <x:v>User hardware design direction, electrical release pending</x:v>
      </x:c>
      <x:c r="S101" s="11" t="str">
        <x:v>Manufacturer P1M plug+5A thermal/load proof and user procurement required</x:v>
      </x:c>
      <x:c r="T101" s="11" t="str">
        <x:v>UNKNOWN</x:v>
      </x:c>
      <x:c r="U101" s="11" t="str">
        <x:v>背面电子件 / 正面TX RX</x:v>
      </x:c>
      <x:c r="V101" s="11" t="str">
        <x:v>HOLD</x:v>
      </x:c>
    </x:row>
    <x:row r="102" ht="64" customHeight="1">
      <x:c r="A102" s="11" t="str">
        <x:v>H-018</x:v>
      </x:c>
      <x:c r="B102" s="11" t="str">
        <x:v>12V40W备选不重复装配</x:v>
      </x:c>
      <x:c r="C102" s="11" t="str">
        <x:v>GST40A12-P1M</x:v>
      </x:c>
      <x:c r="D102" s="11" t="str">
        <x:v>UNKNOWN_VERIFY</x:v>
      </x:c>
      <x:c r="E102" s="13" t="n">
        <x:v>0</x:v>
      </x:c>
      <x:c r="F102" s="14" t="n">
        <x:v>0.1</x:v>
      </x:c>
      <x:c r="G102" s="13" t="n">
        <x:f>ROUNDUP(E102*(1+F102),0)</x:f>
        <x:v>0</x:v>
      </x:c>
      <x:c r="H102" s="11" t="str"/>
      <x:c r="I102" s="11" t="str">
        <x:v>EXTERNAL_5P5x2P5; Pin1/EP原生库待核</x:v>
      </x:c>
      <x:c r="J102" s="11" t="str">
        <x:v>SEE_POWER_DOMAIN_CONTRACT</x:v>
      </x:c>
      <x:c r="K102" s="11" t="str">
        <x:v>UNKNOWN</x:v>
      </x:c>
      <x:c r="L102" s="11" t="str">
        <x:v>LOCAL12V / 5V / 3V3</x:v>
      </x:c>
      <x:c r="M102" s="11" t="str">
        <x:v>CANDIDATE_ENGINEERING_REQUIREMENT</x:v>
      </x:c>
      <x:c r="N102" s="11" t="str">
        <x:v>授权渠道待选；不默认替代</x:v>
      </x:c>
      <x:c r="O102" s="11" t="str">
        <x:v>SEE_SOURCE_REGISTER</x:v>
      </x:c>
      <x:c r="P102" s="11" t="str">
        <x:v>2026-10-11</x:v>
      </x:c>
      <x:c r="Q102" s="11" t="str">
        <x:v>CANDIDATE</x:v>
      </x:c>
      <x:c r="R102" s="11" t="str">
        <x:v>User hardware design direction, electrical release pending</x:v>
      </x:c>
      <x:c r="S102" s="11" t="str">
        <x:v>Alternative only, &lt;=30.77W/board at30% headroom before derating</x:v>
      </x:c>
      <x:c r="T102" s="11" t="str">
        <x:v>UNKNOWN</x:v>
      </x:c>
      <x:c r="U102" s="11" t="str">
        <x:v>背面电子件 / 正面TX RX</x:v>
      </x:c>
      <x:c r="V102" s="11" t="str">
        <x:v>HOLD</x:v>
      </x:c>
    </x:row>
    <x:row r="103" ht="64" customHeight="1">
      <x:c r="A103" s="11" t="str">
        <x:v>H-019</x:v>
      </x:c>
      <x:c r="B103" s="11" t="str">
        <x:v>中央独立USB-C电源</x:v>
      </x:c>
      <x:c r="C103" s="11" t="str">
        <x:v>USB_C_5V_3A_SOURCE_TBD</x:v>
      </x:c>
      <x:c r="D103" s="11" t="str">
        <x:v>UNKNOWN_VERIFY</x:v>
      </x:c>
      <x:c r="E103" s="13" t="n">
        <x:v>0</x:v>
      </x:c>
      <x:c r="F103" s="14" t="n">
        <x:v>0.1</x:v>
      </x:c>
      <x:c r="G103" s="13" t="n">
        <x:f>ROUNDUP(E103*(1+F103),0)</x:f>
        <x:v>0</x:v>
      </x:c>
      <x:c r="H103" s="11" t="str"/>
      <x:c r="I103" s="11" t="str">
        <x:v>EXTERNAL; Pin1/EP原生库待核</x:v>
      </x:c>
      <x:c r="J103" s="11" t="str">
        <x:v>SEE_POWER_DOMAIN_CONTRACT</x:v>
      </x:c>
      <x:c r="K103" s="11" t="str">
        <x:v>UNKNOWN</x:v>
      </x:c>
      <x:c r="L103" s="11" t="str">
        <x:v>LOCAL12V / 5V / 3V3</x:v>
      </x:c>
      <x:c r="M103" s="11" t="str">
        <x:v>CANDIDATE_ENGINEERING_REQUIREMENT</x:v>
      </x:c>
      <x:c r="N103" s="11" t="str">
        <x:v>授权渠道待选；不默认替代</x:v>
      </x:c>
      <x:c r="O103" s="11" t="str">
        <x:v>SEE_SOURCE_REGISTER</x:v>
      </x:c>
      <x:c r="P103" s="11" t="str">
        <x:v>2026-10-11</x:v>
      </x:c>
      <x:c r="Q103" s="11" t="str">
        <x:v>CANDIDATE</x:v>
      </x:c>
      <x:c r="R103" s="11" t="str">
        <x:v>User hardware design direction, electrical release pending</x:v>
      </x:c>
      <x:c r="S103" s="11" t="str">
        <x:v>CC3A availability; no implicit draw3A</x:v>
      </x:c>
      <x:c r="T103" s="11" t="str">
        <x:v>UNKNOWN</x:v>
      </x:c>
      <x:c r="U103" s="11" t="str">
        <x:v>背面电子件 / 正面TX RX</x:v>
      </x:c>
      <x:c r="V103" s="11" t="str">
        <x:v>HOLD</x:v>
      </x:c>
    </x:row>
    <x:row r="104" ht="216" customHeight="1">
      <x:c r="A104" s="11" t="str">
        <x:v>H-020</x:v>
      </x:c>
      <x:c r="B104" s="11" t="str">
        <x:v>每路驱动输入默认低</x:v>
      </x:c>
      <x:c r="C104" s="11" t="str">
        <x:v>DRIVER_INPUT_PULLDOWN_TBD</x:v>
      </x:c>
      <x:c r="D104" s="11" t="str">
        <x:v>UNKNOWN_VERIFY</x:v>
      </x:c>
      <x:c r="E104" s="13" t="n">
        <x:v>64</x:v>
      </x:c>
      <x:c r="F104" s="14" t="n">
        <x:v>0.1</x:v>
      </x:c>
      <x:c r="G104" s="13" t="n">
        <x:f>ROUNDUP(E104*(1+F104),0)</x:f>
        <x:v>71</x:v>
      </x:c>
      <x:c r="H104" s="11" t="str">
        <x:v>UP_H020_001, UP_H020_002, UP_H020_003, UP_H020_004, UP_H020_005, UP_H020_006, UP_H020_007, UP_H020_008, UP_H020_009, UP_H020_010, UP_H020_011, UP_H020_012, UP_H020_013, UP_H020_014, UP_H020_015, UP_H020_016, UP_H020_017, UP_H020_018, UP_H020_019, UP_H020_020, UP_H020_021, UP_H020_022, UP_H020_023, UP_H020_024, UP_H020_025, UP_H020_026, UP_H020_027, UP_H020_028, UP_H020_029, UP_H020_030, UP_H020_031, UP_H020_032, UP_H020_033, UP_H020_034, UP_H020_035, UP_H020_036, UP_H020_037, UP_H020_038, UP_H020_039, UP_H020_040, UP_H020_041, UP_H020_042, UP_H020_043, UP_H020_044, UP_H020_045, UP_H020_046, UP_H020_047, UP_H020_048, UP_H020_049, UP_H020_050, UP_H020_051, UP_H020_052, UP_H020_053, UP_H020_054, UP_H020_055, UP_H020_056, UP_H020_057, UP_H020_058, UP_H020_059, UP_H020_060, UP_H020_061, UP_H020_062, UP_H020_063, UP_H020_064</x:v>
      </x:c>
      <x:c r="I104" s="11" t="str">
        <x:v>R_VALUE_TBD; Pin1/EP原生库待核</x:v>
      </x:c>
      <x:c r="J104" s="11" t="str">
        <x:v>SEE_POWER_DOMAIN_CONTRACT</x:v>
      </x:c>
      <x:c r="K104" s="11" t="str">
        <x:v>UNKNOWN</x:v>
      </x:c>
      <x:c r="L104" s="11" t="str">
        <x:v>LOCAL12V / 5V / 3V3</x:v>
      </x:c>
      <x:c r="M104" s="11" t="str">
        <x:v>CANDIDATE_ENGINEERING_REQUIREMENT</x:v>
      </x:c>
      <x:c r="N104" s="11" t="str">
        <x:v>授权渠道待选；不默认替代</x:v>
      </x:c>
      <x:c r="O104" s="11" t="str">
        <x:v>SEE_SOURCE_REGISTER</x:v>
      </x:c>
      <x:c r="P104" s="11" t="str">
        <x:v>2026-10-11</x:v>
      </x:c>
      <x:c r="Q104" s="11" t="str">
        <x:v>CANDIDATE</x:v>
      </x:c>
      <x:c r="R104" s="11" t="str">
        <x:v>User hardware design direction, electrical release pending</x:v>
      </x:c>
      <x:c r="S104" s="11" t="str">
        <x:v>595OE high makes Q high-Z; pulldown must defeat leakage without load excess</x:v>
      </x:c>
      <x:c r="T104" s="11" t="str">
        <x:v>UNKNOWN</x:v>
      </x:c>
      <x:c r="U104" s="11" t="str">
        <x:v>背面电子件 / 正面TX RX</x:v>
      </x:c>
      <x:c r="V104" s="11" t="str">
        <x:v>HOLD</x:v>
      </x:c>
    </x:row>
    <x:row r="105" ht="64" customHeight="1">
      <x:c r="A105" s="11" t="str">
        <x:v>H-021</x:v>
      </x:c>
      <x:c r="B105" s="11" t="str">
        <x:v>I2C独立复位电路</x:v>
      </x:c>
      <x:c r="C105" s="11" t="str">
        <x:v>MUX_RESET_SUPERVISOR_TBD</x:v>
      </x:c>
      <x:c r="D105" s="11" t="str">
        <x:v>UNKNOWN_VERIFY</x:v>
      </x:c>
      <x:c r="E105" s="13" t="n">
        <x:v>0</x:v>
      </x:c>
      <x:c r="F105" s="14" t="n">
        <x:v>0.1</x:v>
      </x:c>
      <x:c r="G105" s="13" t="n">
        <x:f>ROUNDUP(E105*(1+F105),0)</x:f>
        <x:v>0</x:v>
      </x:c>
      <x:c r="H105" s="11" t="str"/>
      <x:c r="I105" s="11" t="str">
        <x:v>PIN_REVIEW_TBD; Pin1/EP原生库待核</x:v>
      </x:c>
      <x:c r="J105" s="11" t="str">
        <x:v>SEE_POWER_DOMAIN_CONTRACT</x:v>
      </x:c>
      <x:c r="K105" s="11" t="str">
        <x:v>UNKNOWN</x:v>
      </x:c>
      <x:c r="L105" s="11" t="str">
        <x:v>LOCAL12V / 5V / 3V3</x:v>
      </x:c>
      <x:c r="M105" s="11" t="str">
        <x:v>CANDIDATE_ENGINEERING_REQUIREMENT</x:v>
      </x:c>
      <x:c r="N105" s="11" t="str">
        <x:v>授权渠道待选；不默认替代</x:v>
      </x:c>
      <x:c r="O105" s="11" t="str">
        <x:v>SEE_SOURCE_REGISTER</x:v>
      </x:c>
      <x:c r="P105" s="11" t="str">
        <x:v>2026-10-11</x:v>
      </x:c>
      <x:c r="Q105" s="11" t="str">
        <x:v>CANDIDATE</x:v>
      </x:c>
      <x:c r="R105" s="11" t="str">
        <x:v>User hardware design direction, electrical release pending</x:v>
      </x:c>
      <x:c r="S105" s="11" t="str">
        <x:v>No new PL GPIO claimed; supervisor/recovery method needs actual circuit</x:v>
      </x:c>
      <x:c r="T105" s="11" t="str">
        <x:v>UNKNOWN</x:v>
      </x:c>
      <x:c r="U105" s="11" t="str">
        <x:v>背面电子件 / 正面TX RX</x:v>
      </x:c>
      <x:c r="V105" s="11" t="str">
        <x:v>HOLD</x:v>
      </x:c>
    </x:row>
    <x:row r="106">
      <x:c r="A106" s="9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</x:row>
    <x:row r="107">
      <x:c r="A107" s="9" t="str">
        <x:v>装机数量合计</x:v>
      </x:c>
      <x:c r="B107" s="9"/>
      <x:c r="C107" s="9"/>
      <x:c r="D107" s="9"/>
      <x:c r="E107" s="9" t="n">
        <x:f>SUM(E5:E105)</x:f>
        <x:v>551</x:v>
      </x:c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  <x:c r="Q107" s="9"/>
      <x:c r="R107" s="9"/>
      <x:c r="S107" s="9"/>
      <x:c r="T107" s="9"/>
      <x:c r="U107" s="9"/>
      <x:c r="V107" s="9"/>
    </x:row>
  </x:sheetData>
  <x:pageMargins left="0.7" right="0.7" top="0.75" bottom="0.75" header="0.3" footer="0.3"/>
  <x:tableParts count="1">
    <x:tablePart xmlns:r="http://schemas.openxmlformats.org/officeDocument/2006/relationships" r:id="R2ae20b0b58254a0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36" hidden="0" customWidth="1"/>
    <x:col min="3" max="3" width="46" hidden="0" customWidth="1"/>
    <x:col min="4" max="4" width="23" hidden="0" customWidth="1"/>
    <x:col min="5" max="5" width="10" hidden="0" customWidth="1"/>
    <x:col min="6" max="6" width="10" hidden="0" customWidth="1"/>
    <x:col min="7" max="7" width="11" hidden="0" customWidth="1"/>
    <x:col min="8" max="8" width="62" hidden="0" customWidth="1"/>
    <x:col min="9" max="9" width="50" hidden="0" customWidth="1"/>
    <x:col min="10" max="10" width="58" hidden="0" customWidth="1"/>
    <x:col min="11" max="11" width="16" hidden="0" customWidth="1"/>
    <x:col min="12" max="12" width="32" hidden="0" customWidth="1"/>
    <x:col min="13" max="13" width="76" hidden="0" customWidth="1"/>
    <x:col min="14" max="14" width="34" hidden="0" customWidth="1"/>
    <x:col min="15" max="15" width="28" hidden="0" customWidth="1"/>
    <x:col min="16" max="16" width="16" hidden="0" customWidth="1"/>
    <x:col min="17" max="17" width="53" hidden="0" customWidth="1"/>
    <x:col min="18" max="18" width="65" hidden="0" customWidth="1"/>
    <x:col min="19" max="19" width="105" hidden="0" customWidth="1"/>
    <x:col min="20" max="20" width="16" hidden="0" customWidth="1"/>
    <x:col min="21" max="21" width="32" hidden="0" customWidth="1"/>
    <x:col min="22" max="22" width="20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</x:row>
    <x:row r="2">
      <x:c r="A2" s="12" t="str">
        <x:v>Lower v5 四源供电工作 BOM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</x:row>
    <x:row r="3">
      <x:c r="A3" s="9" t="str">
        <x:v>采购 HOLD；DNP 行装机数为0；聚合无源件需分解定料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</x:row>
    <x:row r="4" ht="32" customHeight="1">
      <x:c r="A4" s="10" t="str">
        <x:v>ID</x:v>
      </x:c>
      <x:c r="B4" s="10" t="str">
        <x:v>器件名称</x:v>
      </x:c>
      <x:c r="C4" s="10" t="str">
        <x:v>完整MPN / 待定标记</x:v>
      </x:c>
      <x:c r="D4" s="10" t="str">
        <x:v>原厂</x:v>
      </x:c>
      <x:c r="E4" s="10" t="str">
        <x:v>装机数</x:v>
      </x:c>
      <x:c r="F4" s="10" t="str">
        <x:v>备件率</x:v>
      </x:c>
      <x:c r="G4" s="10" t="str">
        <x:v>计划数量</x:v>
      </x:c>
      <x:c r="H4" s="10" t="str">
        <x:v>位号</x:v>
      </x:c>
      <x:c r="I4" s="10" t="str">
        <x:v>封装 / Pin1 / EP</x:v>
      </x:c>
      <x:c r="J4" s="10" t="str">
        <x:v>主要额定 / 用途</x:v>
      </x:c>
      <x:c r="K4" s="10" t="str">
        <x:v>电流 A</x:v>
      </x:c>
      <x:c r="L4" s="10" t="str">
        <x:v>供电域</x:v>
      </x:c>
      <x:c r="M4" s="10" t="str">
        <x:v>原厂资料链接</x:v>
      </x:c>
      <x:c r="N4" s="10" t="str">
        <x:v>国内供应商 / 替代</x:v>
      </x:c>
      <x:c r="O4" s="10" t="str">
        <x:v>Datasheet版本</x:v>
      </x:c>
      <x:c r="P4" s="10" t="str">
        <x:v>检索日期</x:v>
      </x:c>
      <x:c r="Q4" s="10" t="str">
        <x:v>器件筛选状态</x:v>
      </x:c>
      <x:c r="R4" s="10" t="str">
        <x:v>批准来源</x:v>
      </x:c>
      <x:c r="S4" s="10" t="str">
        <x:v>未知及证明路径</x:v>
      </x:c>
      <x:c r="T4" s="10" t="str">
        <x:v>单价 CNY</x:v>
      </x:c>
      <x:c r="U4" s="10" t="str">
        <x:v>装配侧</x:v>
      </x:c>
      <x:c r="V4" s="10" t="str">
        <x:v>采购状态</x:v>
      </x:c>
    </x:row>
    <x:row r="5" ht="216" customHeight="1">
      <x:c r="A5" s="11" t="str">
        <x:v>B-001</x:v>
      </x:c>
      <x:c r="B5" s="11" t="str">
        <x:v>40kHz 超声发射换能器</x:v>
      </x:c>
      <x:c r="C5" s="11" t="str">
        <x:v>NU40C10T-2_ORDER_CODE_PENDING_VENDOR</x:v>
      </x:c>
      <x:c r="D5" s="11" t="str">
        <x:v>UNKNOWN_VERIFY</x:v>
      </x:c>
      <x:c r="E5" s="13" t="n">
        <x:v>64</x:v>
      </x:c>
      <x:c r="F5" s="14" t="n">
        <x:v>0.1</x:v>
      </x:c>
      <x:c r="G5" s="13" t="n">
        <x:f>ROUNDUP(E5*(1+F5),0)</x:f>
        <x:v>71</x:v>
      </x:c>
      <x:c r="H5" s="11" t="str">
        <x:v>DN_B001_001, DN_B001_002, DN_B001_003, DN_B001_004, DN_B001_005, DN_B001_006, DN_B001_007, DN_B001_008, DN_B001_009, DN_B001_010, DN_B001_011, DN_B001_012, DN_B001_013, DN_B001_014, DN_B001_015, DN_B001_016, DN_B001_017, DN_B001_018, DN_B001_019, DN_B001_020, DN_B001_021, DN_B001_022, DN_B001_023, DN_B001_024, DN_B001_025, DN_B001_026, DN_B001_027, DN_B001_028, DN_B001_029, DN_B001_030, DN_B001_031, DN_B001_032, DN_B001_033, DN_B001_034, DN_B001_035, DN_B001_036, DN_B001_037, DN_B001_038, DN_B001_039, DN_B001_040, DN_B001_041, DN_B001_042, DN_B001_043, DN_B001_044, DN_B001_045, DN_B001_046, DN_B001_047, DN_B001_048, DN_B001_049, DN_B001_050, DN_B001_051, DN_B001_052, DN_B001_053, DN_B001_054, DN_B001_055, DN_B001_056, DN_B001_057, DN_B001_058, DN_B001_059, DN_B001_060, DN_B001_061, DN_B001_062, DN_B001_063, DN_B001_064</x:v>
      </x:c>
      <x:c r="I5" s="11" t="str">
        <x:v>THT2; body9.8+/-0.5mm; pitch5.0+/-0.5mm; lead0.7+/-0.1mm; Pin1/EP原生库待核</x:v>
      </x:c>
      <x:c r="J5" s="11" t="str">
        <x:v>用户锁定发射器型号；供应商完整 datasheet / 焊脚尺寸尚需核实</x:v>
      </x:c>
      <x:c r="K5" s="11" t="str">
        <x:v>UNKNOWN</x:v>
      </x:c>
      <x:c r="L5" s="11" t="str">
        <x:v>LOCAL12V / 5V / 3V3</x:v>
      </x:c>
      <x:c r="M5" s="11" t="str">
        <x:v>USER_VENDOR_IMAGES_HASHES_IN_VENDOR_PARAMETERS.json</x:v>
      </x:c>
      <x:c r="N5" s="11" t="str">
        <x:v>授权渠道待选；不默认替代</x:v>
      </x:c>
      <x:c r="O5" s="11" t="str">
        <x:v>UNKNOWN_VERIFY</x:v>
      </x:c>
      <x:c r="P5" s="11" t="str">
        <x:v>2026-10-11</x:v>
      </x:c>
      <x:c r="Q5" s="11" t="str">
        <x:v>INHERITED_CANDIDATE_REQUIRES_NATIVE_PIN_REVIEW</x:v>
      </x:c>
      <x:c r="R5" s="11" t="str">
        <x:v>User v5 scope; no procurement permission</x:v>
      </x:c>
      <x:c r="S5" s="11" t="str">
        <x:v>Inherited candidate quantity; netlist/thermal review pending</x:v>
      </x:c>
      <x:c r="T5" s="11" t="str">
        <x:v>UNKNOWN</x:v>
      </x:c>
      <x:c r="U5" s="11" t="str">
        <x:v>背面电子件 / 正面TX RX</x:v>
      </x:c>
      <x:c r="V5" s="11" t="str">
        <x:v>HOLD</x:v>
      </x:c>
    </x:row>
    <x:row r="6" ht="64" customHeight="1">
      <x:c r="A6" s="11" t="str">
        <x:v>B-002</x:v>
      </x:c>
      <x:c r="B6" s="11" t="str">
        <x:v>40kHz 超声接收换能器</x:v>
      </x:c>
      <x:c r="C6" s="11" t="str">
        <x:v>NU40C10R-2_CANDIDATE_EXACT_RX_MPN_HOLD</x:v>
      </x:c>
      <x:c r="D6" s="11" t="str">
        <x:v>UNKNOWN_VERIFY</x:v>
      </x:c>
      <x:c r="E6" s="13" t="n">
        <x:v>4</x:v>
      </x:c>
      <x:c r="F6" s="14" t="n">
        <x:v>0.1</x:v>
      </x:c>
      <x:c r="G6" s="13" t="n">
        <x:f>ROUNDUP(E6*(1+F6),0)</x:f>
        <x:v>5</x:v>
      </x:c>
      <x:c r="H6" s="11" t="str">
        <x:v>DN_B002_001, DN_B002_002, DN_B002_003, DN_B002_004</x:v>
      </x:c>
      <x:c r="I6" s="11" t="str">
        <x:v>THT2_CANDIDATE_VERIFY_RX_MECHANICAL; Pin1/EP原生库待核</x:v>
      </x:c>
      <x:c r="J6" s="11" t="str">
        <x:v>同频匹配接收器；不得擅自把TX当RX</x:v>
      </x:c>
      <x:c r="K6" s="11" t="str">
        <x:v>UNKNOWN</x:v>
      </x:c>
      <x:c r="L6" s="11" t="str">
        <x:v>LOCAL12V / 5V / 3V3</x:v>
      </x:c>
      <x:c r="M6" s="11" t="str">
        <x:v>https://github.com/loverlike1216/SonoField-FPGA/tree/main/v5</x:v>
      </x:c>
      <x:c r="N6" s="11" t="str">
        <x:v>授权渠道待选；不默认替代</x:v>
      </x:c>
      <x:c r="O6" s="11" t="str">
        <x:v>UNKNOWN_VERIFY</x:v>
      </x:c>
      <x:c r="P6" s="11" t="str">
        <x:v>2026-10-11</x:v>
      </x:c>
      <x:c r="Q6" s="11" t="str">
        <x:v>INHERITED_CANDIDATE_REQUIRES_NATIVE_PIN_REVIEW</x:v>
      </x:c>
      <x:c r="R6" s="11" t="str">
        <x:v>User v5 scope; no procurement permission</x:v>
      </x:c>
      <x:c r="S6" s="11" t="str">
        <x:v>Inherited candidate quantity; netlist/thermal review pending</x:v>
      </x:c>
      <x:c r="T6" s="11" t="str">
        <x:v>UNKNOWN</x:v>
      </x:c>
      <x:c r="U6" s="11" t="str">
        <x:v>背面电子件 / 正面TX RX</x:v>
      </x:c>
      <x:c r="V6" s="11" t="str">
        <x:v>HOLD</x:v>
      </x:c>
    </x:row>
    <x:row r="7" ht="108" customHeight="1">
      <x:c r="A7" s="11" t="str">
        <x:v>B-003</x:v>
      </x:c>
      <x:c r="B7" s="11" t="str">
        <x:v>双通道功率驱动器</x:v>
      </x:c>
      <x:c r="C7" s="11" t="str">
        <x:v>TC4427AEOA713</x:v>
      </x:c>
      <x:c r="D7" s="11" t="str">
        <x:v>UNKNOWN_VERIFY</x:v>
      </x:c>
      <x:c r="E7" s="13" t="n">
        <x:v>32</x:v>
      </x:c>
      <x:c r="F7" s="14" t="n">
        <x:v>0.1</x:v>
      </x:c>
      <x:c r="G7" s="13" t="n">
        <x:f>ROUNDUP(E7*(1+F7),0)</x:f>
        <x:v>36</x:v>
      </x:c>
      <x:c r="H7" s="11" t="str">
        <x:v>DN_B003_001, DN_B003_002, DN_B003_003, DN_B003_004, DN_B003_005, DN_B003_006, DN_B003_007, DN_B003_008, DN_B003_009, DN_B003_010, DN_B003_011, DN_B003_012, DN_B003_013, DN_B003_014, DN_B003_015, DN_B003_016, DN_B003_017, DN_B003_018, DN_B003_019, DN_B003_020, DN_B003_021, DN_B003_022, DN_B003_023, DN_B003_024, DN_B003_025, DN_B003_026, DN_B003_027, DN_B003_028, DN_B003_029, DN_B003_030, DN_B003_031, DN_B003_032</x:v>
      </x:c>
      <x:c r="I7" s="11" t="str">
        <x:v>SOIC-8; Pin1/EP原生库待核</x:v>
      </x:c>
      <x:c r="J7" s="11" t="str">
        <x:v>2输出/芯片；12V首轮限流调试，不是NU40C10T额定电压</x:v>
      </x:c>
      <x:c r="K7" s="11" t="str">
        <x:v>UNKNOWN</x:v>
      </x:c>
      <x:c r="L7" s="11" t="str">
        <x:v>LOCAL12V / 5V / 3V3</x:v>
      </x:c>
      <x:c r="M7" s="11" t="str">
        <x:v>https://www.microchip.com/en-us/product/TC4427A</x:v>
      </x:c>
      <x:c r="N7" s="11" t="str">
        <x:v>授权渠道待选；不默认替代</x:v>
      </x:c>
      <x:c r="O7" s="11" t="str">
        <x:v>UNKNOWN_VERIFY</x:v>
      </x:c>
      <x:c r="P7" s="11" t="str">
        <x:v>2026-10-11</x:v>
      </x:c>
      <x:c r="Q7" s="11" t="str">
        <x:v>INHERITED_CANDIDATE_REQUIRES_NATIVE_PIN_REVIEW</x:v>
      </x:c>
      <x:c r="R7" s="11" t="str">
        <x:v>User v5 scope; no procurement permission</x:v>
      </x:c>
      <x:c r="S7" s="11" t="str">
        <x:v>Inherited candidate quantity; netlist/thermal review pending</x:v>
      </x:c>
      <x:c r="T7" s="11" t="str">
        <x:v>UNKNOWN</x:v>
      </x:c>
      <x:c r="U7" s="11" t="str">
        <x:v>背面电子件 / 正面TX RX</x:v>
      </x:c>
      <x:c r="V7" s="11" t="str">
        <x:v>HOLD</x:v>
      </x:c>
    </x:row>
    <x:row r="8" ht="64" customHeight="1">
      <x:c r="A8" s="11" t="str">
        <x:v>B-004</x:v>
      </x:c>
      <x:c r="B8" s="11" t="str">
        <x:v>8位串入并出寄存器</x:v>
      </x:c>
      <x:c r="C8" s="11" t="str">
        <x:v>SN74LVC595APWR</x:v>
      </x:c>
      <x:c r="D8" s="11" t="str">
        <x:v>UNKNOWN_VERIFY</x:v>
      </x:c>
      <x:c r="E8" s="13" t="n">
        <x:v>16</x:v>
      </x:c>
      <x:c r="F8" s="14" t="n">
        <x:v>0.1</x:v>
      </x:c>
      <x:c r="G8" s="13" t="n">
        <x:f>ROUNDUP(E8*(1+F8),0)</x:f>
        <x:v>18</x:v>
      </x:c>
      <x:c r="H8" s="11" t="str">
        <x:v>DN_B004_001, DN_B004_002, DN_B004_003, DN_B004_004, DN_B004_005, DN_B004_006, DN_B004_007, DN_B004_008, DN_B004_009, DN_B004_010, DN_B004_011, DN_B004_012, DN_B004_013, DN_B004_014, DN_B004_015, DN_B004_016</x:v>
      </x:c>
      <x:c r="I8" s="11" t="str">
        <x:v>TSSOP-16; Pin1/EP原生库待核</x:v>
      </x:c>
      <x:c r="J8" s="11" t="str">
        <x:v>每片4个有效输出；每侧16条独立串行lane</x:v>
      </x:c>
      <x:c r="K8" s="11" t="str">
        <x:v>UNKNOWN</x:v>
      </x:c>
      <x:c r="L8" s="11" t="str">
        <x:v>LOCAL12V / 5V / 3V3</x:v>
      </x:c>
      <x:c r="M8" s="11" t="str">
        <x:v>https://www.ti.com/product/SN74LVC595A</x:v>
      </x:c>
      <x:c r="N8" s="11" t="str">
        <x:v>授权渠道待选；不默认替代</x:v>
      </x:c>
      <x:c r="O8" s="11" t="str">
        <x:v>UNKNOWN_VERIFY</x:v>
      </x:c>
      <x:c r="P8" s="11" t="str">
        <x:v>2026-10-11</x:v>
      </x:c>
      <x:c r="Q8" s="11" t="str">
        <x:v>INHERITED_CANDIDATE_REQUIRES_NATIVE_PIN_REVIEW</x:v>
      </x:c>
      <x:c r="R8" s="11" t="str">
        <x:v>User v5 scope; no procurement permission</x:v>
      </x:c>
      <x:c r="S8" s="11" t="str">
        <x:v>Inherited candidate quantity; netlist/thermal review pending</x:v>
      </x:c>
      <x:c r="T8" s="11" t="str">
        <x:v>UNKNOWN</x:v>
      </x:c>
      <x:c r="U8" s="11" t="str">
        <x:v>背面电子件 / 正面TX RX</x:v>
      </x:c>
      <x:c r="V8" s="11" t="str">
        <x:v>HOLD</x:v>
      </x:c>
    </x:row>
    <x:row r="9" ht="64" customHeight="1">
      <x:c r="A9" s="11" t="str">
        <x:v>B-005</x:v>
      </x:c>
      <x:c r="B9" s="11" t="str">
        <x:v>8位双电源电平转换</x:v>
      </x:c>
      <x:c r="C9" s="11" t="str">
        <x:v>SN74AXC8T245PWR</x:v>
      </x:c>
      <x:c r="D9" s="11" t="str">
        <x:v>UNKNOWN_VERIFY</x:v>
      </x:c>
      <x:c r="E9" s="13" t="n">
        <x:v>4</x:v>
      </x:c>
      <x:c r="F9" s="14" t="n">
        <x:v>0.1</x:v>
      </x:c>
      <x:c r="G9" s="13" t="n">
        <x:f>ROUNDUP(E9*(1+F9),0)</x:f>
        <x:v>5</x:v>
      </x:c>
      <x:c r="H9" s="11" t="str">
        <x:v>DN_B005_001, DN_B005_002, DN_B005_003, DN_B005_004</x:v>
      </x:c>
      <x:c r="I9" s="11" t="str">
        <x:v>TSSOP-24; Pin1/EP原生库待核</x:v>
      </x:c>
      <x:c r="J9" s="11" t="str">
        <x:v>VCCA/VCCB均不得大于3.6V；根据VCCO放置与计算数量</x:v>
      </x:c>
      <x:c r="K9" s="11" t="str">
        <x:v>UNKNOWN</x:v>
      </x:c>
      <x:c r="L9" s="11" t="str">
        <x:v>LOCAL12V / 5V / 3V3</x:v>
      </x:c>
      <x:c r="M9" s="11" t="str">
        <x:v>https://www.ti.com/product/SN74AXC8T245</x:v>
      </x:c>
      <x:c r="N9" s="11" t="str">
        <x:v>授权渠道待选；不默认替代</x:v>
      </x:c>
      <x:c r="O9" s="11" t="str">
        <x:v>UNKNOWN_VERIFY</x:v>
      </x:c>
      <x:c r="P9" s="11" t="str">
        <x:v>2026-10-11</x:v>
      </x:c>
      <x:c r="Q9" s="11" t="str">
        <x:v>INHERITED_CANDIDATE_REQUIRES_NATIVE_PIN_REVIEW</x:v>
      </x:c>
      <x:c r="R9" s="11" t="str">
        <x:v>User v5 scope; no procurement permission</x:v>
      </x:c>
      <x:c r="S9" s="11" t="str">
        <x:v>Inherited candidate quantity; netlist/thermal review pending</x:v>
      </x:c>
      <x:c r="T9" s="11" t="str">
        <x:v>UNKNOWN</x:v>
      </x:c>
      <x:c r="U9" s="11" t="str">
        <x:v>背面电子件 / 正面TX RX</x:v>
      </x:c>
      <x:c r="V9" s="11" t="str">
        <x:v>HOLD</x:v>
      </x:c>
    </x:row>
    <x:row r="10" ht="64" customHeight="1">
      <x:c r="A10" s="11" t="str">
        <x:v>B-006</x:v>
      </x:c>
      <x:c r="B10" s="11" t="str">
        <x:v>8路时钟缓冲器</x:v>
      </x:c>
      <x:c r="C10" s="11" t="str">
        <x:v>SN74LVC244APWR</x:v>
      </x:c>
      <x:c r="D10" s="11" t="str">
        <x:v>UNKNOWN_VERIFY</x:v>
      </x:c>
      <x:c r="E10" s="13" t="n">
        <x:v>1</x:v>
      </x:c>
      <x:c r="F10" s="14" t="n">
        <x:v>0.1</x:v>
      </x:c>
      <x:c r="G10" s="13" t="n">
        <x:f>ROUNDUP(E10*(1+F10),0)</x:f>
        <x:v>2</x:v>
      </x:c>
      <x:c r="H10" s="11" t="str">
        <x:v>DN_B006_001</x:v>
      </x:c>
      <x:c r="I10" s="11" t="str">
        <x:v>TSSOP-20; Pin1/EP原生库待核</x:v>
      </x:c>
      <x:c r="J10" s="11" t="str">
        <x:v>每阵列1颗；4路SRCLK+4路RCLK 需负载证明</x:v>
      </x:c>
      <x:c r="K10" s="11" t="str">
        <x:v>UNKNOWN</x:v>
      </x:c>
      <x:c r="L10" s="11" t="str">
        <x:v>LOCAL12V / 5V / 3V3</x:v>
      </x:c>
      <x:c r="M10" s="11" t="str">
        <x:v>https://www.ti.com/product/SN74LVC244A</x:v>
      </x:c>
      <x:c r="N10" s="11" t="str">
        <x:v>授权渠道待选；不默认替代</x:v>
      </x:c>
      <x:c r="O10" s="11" t="str">
        <x:v>UNKNOWN_VERIFY</x:v>
      </x:c>
      <x:c r="P10" s="11" t="str">
        <x:v>2026-10-11</x:v>
      </x:c>
      <x:c r="Q10" s="11" t="str">
        <x:v>INHERITED_CANDIDATE_REQUIRES_NATIVE_PIN_REVIEW</x:v>
      </x:c>
      <x:c r="R10" s="11" t="str">
        <x:v>User v5 scope; no procurement permission</x:v>
      </x:c>
      <x:c r="S10" s="11" t="str">
        <x:v>Inherited candidate quantity; netlist/thermal review pending</x:v>
      </x:c>
      <x:c r="T10" s="11" t="str">
        <x:v>UNKNOWN</x:v>
      </x:c>
      <x:c r="U10" s="11" t="str">
        <x:v>背面电子件 / 正面TX RX</x:v>
      </x:c>
      <x:c r="V10" s="11" t="str">
        <x:v>HOLD</x:v>
      </x:c>
    </x:row>
    <x:row r="11" ht="64" customHeight="1">
      <x:c r="A11" s="11" t="str">
        <x:v>B-007</x:v>
      </x:c>
      <x:c r="B11" s="11" t="str">
        <x:v>双输入OR联锁门</x:v>
      </x:c>
      <x:c r="C11" s="11" t="str">
        <x:v>SN74LVC1G32DBVR</x:v>
      </x:c>
      <x:c r="D11" s="11" t="str">
        <x:v>UNKNOWN_VERIFY</x:v>
      </x:c>
      <x:c r="E11" s="13" t="n">
        <x:v>1</x:v>
      </x:c>
      <x:c r="F11" s="14" t="n">
        <x:v>0.1</x:v>
      </x:c>
      <x:c r="G11" s="13" t="n">
        <x:f>ROUNDUP(E11*(1+F11),0)</x:f>
        <x:v>2</x:v>
      </x:c>
      <x:c r="H11" s="11" t="str">
        <x:v>DN_B007_001</x:v>
      </x:c>
      <x:c r="I11" s="11" t="str">
        <x:v>SOT-23-5; Pin1/EP原生库待核</x:v>
      </x:c>
      <x:c r="J11" s="11" t="str">
        <x:v>OE fail-high 组合/拉起，逻辑需核验</x:v>
      </x:c>
      <x:c r="K11" s="11" t="str">
        <x:v>UNKNOWN</x:v>
      </x:c>
      <x:c r="L11" s="11" t="str">
        <x:v>LOCAL12V / 5V / 3V3</x:v>
      </x:c>
      <x:c r="M11" s="11" t="str">
        <x:v>https://www.ti.com/product/SN74LVC1G32</x:v>
      </x:c>
      <x:c r="N11" s="11" t="str">
        <x:v>授权渠道待选；不默认替代</x:v>
      </x:c>
      <x:c r="O11" s="11" t="str">
        <x:v>UNKNOWN_VERIFY</x:v>
      </x:c>
      <x:c r="P11" s="11" t="str">
        <x:v>2026-10-11</x:v>
      </x:c>
      <x:c r="Q11" s="11" t="str">
        <x:v>INHERITED_CANDIDATE_REQUIRES_NATIVE_PIN_REVIEW</x:v>
      </x:c>
      <x:c r="R11" s="11" t="str">
        <x:v>User v5 scope; no procurement permission</x:v>
      </x:c>
      <x:c r="S11" s="11" t="str">
        <x:v>Inherited candidate quantity; netlist/thermal review pending</x:v>
      </x:c>
      <x:c r="T11" s="11" t="str">
        <x:v>UNKNOWN</x:v>
      </x:c>
      <x:c r="U11" s="11" t="str">
        <x:v>背面电子件 / 正面TX RX</x:v>
      </x:c>
      <x:c r="V11" s="11" t="str">
        <x:v>HOLD</x:v>
      </x:c>
    </x:row>
    <x:row r="12" ht="64" customHeight="1">
      <x:c r="A12" s="11" t="str">
        <x:v>B-008</x:v>
      </x:c>
      <x:c r="B12" s="11" t="str">
        <x:v>独立上电复位/欠压检测</x:v>
      </x:c>
      <x:c r="C12" s="11" t="str">
        <x:v>TLV803 / TPS3839 类（需定料）</x:v>
      </x:c>
      <x:c r="D12" s="11" t="str">
        <x:v>UNKNOWN_VERIFY</x:v>
      </x:c>
      <x:c r="E12" s="13" t="n">
        <x:v>1</x:v>
      </x:c>
      <x:c r="F12" s="14" t="n">
        <x:v>0.1</x:v>
      </x:c>
      <x:c r="G12" s="13" t="n">
        <x:f>ROUNDUP(E12*(1+F12),0)</x:f>
        <x:v>2</x:v>
      </x:c>
      <x:c r="H12" s="11" t="str">
        <x:v>DN_B008_001</x:v>
      </x:c>
      <x:c r="I12" s="11" t="str">
        <x:v>SOT-23 TBD; Pin1/EP原生库待核</x:v>
      </x:c>
      <x:c r="J12" s="11" t="str">
        <x:v>监测各板本地3.3V；独立硬件复位/禁能</x:v>
      </x:c>
      <x:c r="K12" s="11" t="str">
        <x:v>UNKNOWN</x:v>
      </x:c>
      <x:c r="L12" s="11" t="str">
        <x:v>LOCAL12V / 5V / 3V3</x:v>
      </x:c>
      <x:c r="M12" s="11" t="str">
        <x:v>https://www.ti.com/product/TPS3839</x:v>
      </x:c>
      <x:c r="N12" s="11" t="str">
        <x:v>授权渠道待选；不默认替代</x:v>
      </x:c>
      <x:c r="O12" s="11" t="str">
        <x:v>UNKNOWN_VERIFY</x:v>
      </x:c>
      <x:c r="P12" s="11" t="str">
        <x:v>2026-10-11</x:v>
      </x:c>
      <x:c r="Q12" s="11" t="str">
        <x:v>INHERITED_CANDIDATE_REQUIRES_NATIVE_PIN_REVIEW</x:v>
      </x:c>
      <x:c r="R12" s="11" t="str">
        <x:v>User v5 scope; no procurement permission</x:v>
      </x:c>
      <x:c r="S12" s="11" t="str">
        <x:v>Inherited candidate quantity; netlist/thermal review pending</x:v>
      </x:c>
      <x:c r="T12" s="11" t="str">
        <x:v>UNKNOWN</x:v>
      </x:c>
      <x:c r="U12" s="11" t="str">
        <x:v>背面电子件 / 正面TX RX</x:v>
      </x:c>
      <x:c r="V12" s="11" t="str">
        <x:v>HOLD</x:v>
      </x:c>
    </x:row>
    <x:row r="13" ht="64" customHeight="1">
      <x:c r="A13" s="11" t="str">
        <x:v>B-009</x:v>
      </x:c>
      <x:c r="B13" s="11" t="str">
        <x:v>硬件失联看门狗</x:v>
      </x:c>
      <x:c r="C13" s="11" t="str">
        <x:v>TPS3430 类（需定料）</x:v>
      </x:c>
      <x:c r="D13" s="11" t="str">
        <x:v>UNKNOWN_VERIFY</x:v>
      </x:c>
      <x:c r="E13" s="13" t="n">
        <x:v>1</x:v>
      </x:c>
      <x:c r="F13" s="14" t="n">
        <x:v>0.1</x:v>
      </x:c>
      <x:c r="G13" s="13" t="n">
        <x:f>ROUNDUP(E13*(1+F13),0)</x:f>
        <x:v>2</x:v>
      </x:c>
      <x:c r="H13" s="11" t="str">
        <x:v>DN_B009_001</x:v>
      </x:c>
      <x:c r="I13" s="11" t="str">
        <x:v>TBD; Pin1/EP原生库待核</x:v>
      </x:c>
      <x:c r="J13" s="11" t="str">
        <x:v>EN必须由本地心跳与PGOOD共同允许；不可仅FPGA软件控制</x:v>
      </x:c>
      <x:c r="K13" s="11" t="str">
        <x:v>UNKNOWN</x:v>
      </x:c>
      <x:c r="L13" s="11" t="str">
        <x:v>LOCAL12V / 5V / 3V3</x:v>
      </x:c>
      <x:c r="M13" s="11" t="str">
        <x:v>https://www.ti.com/product/TPS3430</x:v>
      </x:c>
      <x:c r="N13" s="11" t="str">
        <x:v>授权渠道待选；不默认替代</x:v>
      </x:c>
      <x:c r="O13" s="11" t="str">
        <x:v>UNKNOWN_VERIFY</x:v>
      </x:c>
      <x:c r="P13" s="11" t="str">
        <x:v>2026-10-11</x:v>
      </x:c>
      <x:c r="Q13" s="11" t="str">
        <x:v>INHERITED_CANDIDATE_REQUIRES_NATIVE_PIN_REVIEW</x:v>
      </x:c>
      <x:c r="R13" s="11" t="str">
        <x:v>User v5 scope; no procurement permission</x:v>
      </x:c>
      <x:c r="S13" s="11" t="str">
        <x:v>Inherited candidate quantity; netlist/thermal review pending</x:v>
      </x:c>
      <x:c r="T13" s="11" t="str">
        <x:v>UNKNOWN</x:v>
      </x:c>
      <x:c r="U13" s="11" t="str">
        <x:v>背面电子件 / 正面TX RX</x:v>
      </x:c>
      <x:c r="V13" s="11" t="str">
        <x:v>HOLD</x:v>
      </x:c>
    </x:row>
    <x:row r="14" ht="64" customHeight="1">
      <x:c r="A14" s="11" t="str">
        <x:v>B-010</x:v>
      </x:c>
      <x:c r="B14" s="11" t="str">
        <x:v>4通道SPDT切换开关</x:v>
      </x:c>
      <x:c r="C14" s="11" t="str">
        <x:v>TMUX1574PWR</x:v>
      </x:c>
      <x:c r="D14" s="11" t="str">
        <x:v>UNKNOWN_VERIFY</x:v>
      </x:c>
      <x:c r="E14" s="13" t="n">
        <x:v>1</x:v>
      </x:c>
      <x:c r="F14" s="14" t="n">
        <x:v>0.1</x:v>
      </x:c>
      <x:c r="G14" s="13" t="n">
        <x:f>ROUNDUP(E14*(1+F14),0)</x:f>
        <x:v>2</x:v>
      </x:c>
      <x:c r="H14" s="11" t="str">
        <x:v>DN_B010_001</x:v>
      </x:c>
      <x:c r="I14" s="11" t="str">
        <x:v>TSSOP-16; Pin1/EP原生库待核</x:v>
      </x:c>
      <x:c r="J14" s="11" t="str">
        <x:v>每板4 RX通道；空白期切到静态偏置</x:v>
      </x:c>
      <x:c r="K14" s="11" t="str">
        <x:v>UNKNOWN</x:v>
      </x:c>
      <x:c r="L14" s="11" t="str">
        <x:v>LOCAL12V / 5V / 3V3</x:v>
      </x:c>
      <x:c r="M14" s="11" t="str">
        <x:v>https://www.ti.com/product/TMUX1574</x:v>
      </x:c>
      <x:c r="N14" s="11" t="str">
        <x:v>授权渠道待选；不默认替代</x:v>
      </x:c>
      <x:c r="O14" s="11" t="str">
        <x:v>UNKNOWN_VERIFY</x:v>
      </x:c>
      <x:c r="P14" s="11" t="str">
        <x:v>2026-10-11</x:v>
      </x:c>
      <x:c r="Q14" s="11" t="str">
        <x:v>INHERITED_CANDIDATE_REQUIRES_NATIVE_PIN_REVIEW</x:v>
      </x:c>
      <x:c r="R14" s="11" t="str">
        <x:v>User v5 scope; no procurement permission</x:v>
      </x:c>
      <x:c r="S14" s="11" t="str">
        <x:v>Inherited candidate quantity; netlist/thermal review pending</x:v>
      </x:c>
      <x:c r="T14" s="11" t="str">
        <x:v>UNKNOWN</x:v>
      </x:c>
      <x:c r="U14" s="11" t="str">
        <x:v>背面电子件 / 正面TX RX</x:v>
      </x:c>
      <x:c r="V14" s="11" t="str">
        <x:v>HOLD</x:v>
      </x:c>
    </x:row>
    <x:row r="15" ht="64" customHeight="1">
      <x:c r="A15" s="11" t="str">
        <x:v>B-011</x:v>
      </x:c>
      <x:c r="B15" s="11" t="str">
        <x:v>四路精密运放</x:v>
      </x:c>
      <x:c r="C15" s="11" t="str">
        <x:v>OPA4192IPWR</x:v>
      </x:c>
      <x:c r="D15" s="11" t="str">
        <x:v>UNKNOWN_VERIFY</x:v>
      </x:c>
      <x:c r="E15" s="13" t="n">
        <x:v>2</x:v>
      </x:c>
      <x:c r="F15" s="14" t="n">
        <x:v>0.1</x:v>
      </x:c>
      <x:c r="G15" s="13" t="n">
        <x:f>ROUNDUP(E15*(1+F15),0)</x:f>
        <x:v>3</x:v>
      </x:c>
      <x:c r="H15" s="11" t="str">
        <x:v>DN_B011_001, DN_B011_002</x:v>
      </x:c>
      <x:c r="I15" s="11" t="str">
        <x:v>TSSOP-14; Pin1/EP原生库待核</x:v>
      </x:c>
      <x:c r="J15" s="11" t="str">
        <x:v>每个RX两级，合计16运放单元</x:v>
      </x:c>
      <x:c r="K15" s="11" t="str">
        <x:v>UNKNOWN</x:v>
      </x:c>
      <x:c r="L15" s="11" t="str">
        <x:v>LOCAL12V / 5V / 3V3</x:v>
      </x:c>
      <x:c r="M15" s="11" t="str">
        <x:v>https://www.ti.com/product/OPA4192</x:v>
      </x:c>
      <x:c r="N15" s="11" t="str">
        <x:v>授权渠道待选；不默认替代</x:v>
      </x:c>
      <x:c r="O15" s="11" t="str">
        <x:v>UNKNOWN_VERIFY</x:v>
      </x:c>
      <x:c r="P15" s="11" t="str">
        <x:v>2026-10-11</x:v>
      </x:c>
      <x:c r="Q15" s="11" t="str">
        <x:v>INHERITED_CANDIDATE_REQUIRES_NATIVE_PIN_REVIEW</x:v>
      </x:c>
      <x:c r="R15" s="11" t="str">
        <x:v>User v5 scope; no procurement permission</x:v>
      </x:c>
      <x:c r="S15" s="11" t="str">
        <x:v>Inherited candidate quantity; netlist/thermal review pending</x:v>
      </x:c>
      <x:c r="T15" s="11" t="str">
        <x:v>UNKNOWN</x:v>
      </x:c>
      <x:c r="U15" s="11" t="str">
        <x:v>背面电子件 / 正面TX RX</x:v>
      </x:c>
      <x:c r="V15" s="11" t="str">
        <x:v>HOLD</x:v>
      </x:c>
    </x:row>
    <x:row r="16" ht="64" customHeight="1">
      <x:c r="A16" s="11" t="str">
        <x:v>B-012</x:v>
      </x:c>
      <x:c r="B16" s="11" t="str">
        <x:v>2.5V 精密偏置基准</x:v>
      </x:c>
      <x:c r="C16" s="11" t="str">
        <x:v>REF5025AIDR</x:v>
      </x:c>
      <x:c r="D16" s="11" t="str">
        <x:v>UNKNOWN_VERIFY</x:v>
      </x:c>
      <x:c r="E16" s="13" t="n">
        <x:v>1</x:v>
      </x:c>
      <x:c r="F16" s="14" t="n">
        <x:v>0.1</x:v>
      </x:c>
      <x:c r="G16" s="13" t="n">
        <x:f>ROUNDUP(E16*(1+F16),0)</x:f>
        <x:v>2</x:v>
      </x:c>
      <x:c r="H16" s="11" t="str">
        <x:v>DN_B012_001</x:v>
      </x:c>
      <x:c r="I16" s="11" t="str">
        <x:v>SOIC-8; Pin1/EP原生库待核</x:v>
      </x:c>
      <x:c r="J16" s="11" t="str">
        <x:v>各板一颗；ADC内部基准另按AD7606B约束</x:v>
      </x:c>
      <x:c r="K16" s="11" t="str">
        <x:v>UNKNOWN</x:v>
      </x:c>
      <x:c r="L16" s="11" t="str">
        <x:v>LOCAL12V / 5V / 3V3</x:v>
      </x:c>
      <x:c r="M16" s="11" t="str">
        <x:v>https://www.ti.com/product/REF5025</x:v>
      </x:c>
      <x:c r="N16" s="11" t="str">
        <x:v>授权渠道待选；不默认替代</x:v>
      </x:c>
      <x:c r="O16" s="11" t="str">
        <x:v>UNKNOWN_VERIFY</x:v>
      </x:c>
      <x:c r="P16" s="11" t="str">
        <x:v>2026-10-11</x:v>
      </x:c>
      <x:c r="Q16" s="11" t="str">
        <x:v>INHERITED_CANDIDATE_REQUIRES_NATIVE_PIN_REVIEW</x:v>
      </x:c>
      <x:c r="R16" s="11" t="str">
        <x:v>User v5 scope; no procurement permission</x:v>
      </x:c>
      <x:c r="S16" s="11" t="str">
        <x:v>Inherited candidate quantity; netlist/thermal review pending</x:v>
      </x:c>
      <x:c r="T16" s="11" t="str">
        <x:v>UNKNOWN</x:v>
      </x:c>
      <x:c r="U16" s="11" t="str">
        <x:v>背面电子件 / 正面TX RX</x:v>
      </x:c>
      <x:c r="V16" s="11" t="str">
        <x:v>HOLD</x:v>
      </x:c>
    </x:row>
    <x:row r="17" ht="64" customHeight="1">
      <x:c r="A17" s="11" t="str">
        <x:v>B-013</x:v>
      </x:c>
      <x:c r="B17" s="11" t="str">
        <x:v>双肖特基输入保护</x:v>
      </x:c>
      <x:c r="C17" s="11" t="str">
        <x:v>BAT54S</x:v>
      </x:c>
      <x:c r="D17" s="11" t="str">
        <x:v>UNKNOWN_VERIFY</x:v>
      </x:c>
      <x:c r="E17" s="13" t="n">
        <x:v>4</x:v>
      </x:c>
      <x:c r="F17" s="14" t="n">
        <x:v>0.1</x:v>
      </x:c>
      <x:c r="G17" s="13" t="n">
        <x:f>ROUNDUP(E17*(1+F17),0)</x:f>
        <x:v>5</x:v>
      </x:c>
      <x:c r="H17" s="11" t="str">
        <x:v>DN_B013_001, DN_B013_002, DN_B013_003, DN_B013_004</x:v>
      </x:c>
      <x:c r="I17" s="11" t="str">
        <x:v>SOT-23; Pin1/EP原生库待核</x:v>
      </x:c>
      <x:c r="J17" s="11" t="str">
        <x:v>每RX一路</x:v>
      </x:c>
      <x:c r="K17" s="11" t="str">
        <x:v>UNKNOWN</x:v>
      </x:c>
      <x:c r="L17" s="11" t="str">
        <x:v>LOCAL12V / 5V / 3V3</x:v>
      </x:c>
      <x:c r="M17" s="11" t="str">
        <x:v>https://www.lcsc.com</x:v>
      </x:c>
      <x:c r="N17" s="11" t="str">
        <x:v>授权渠道待选；不默认替代</x:v>
      </x:c>
      <x:c r="O17" s="11" t="str">
        <x:v>UNKNOWN_VERIFY</x:v>
      </x:c>
      <x:c r="P17" s="11" t="str">
        <x:v>2026-10-11</x:v>
      </x:c>
      <x:c r="Q17" s="11" t="str">
        <x:v>INHERITED_CANDIDATE_REQUIRES_NATIVE_PIN_REVIEW</x:v>
      </x:c>
      <x:c r="R17" s="11" t="str">
        <x:v>User v5 scope; no procurement permission</x:v>
      </x:c>
      <x:c r="S17" s="11" t="str">
        <x:v>Inherited candidate quantity; netlist/thermal review pending</x:v>
      </x:c>
      <x:c r="T17" s="11" t="str">
        <x:v>UNKNOWN</x:v>
      </x:c>
      <x:c r="U17" s="11" t="str">
        <x:v>背面电子件 / 正面TX RX</x:v>
      </x:c>
      <x:c r="V17" s="11" t="str">
        <x:v>HOLD</x:v>
      </x:c>
    </x:row>
    <x:row r="18" ht="64" customHeight="1">
      <x:c r="A18" s="11" t="str">
        <x:v>B-014</x:v>
      </x:c>
      <x:c r="B18" s="11" t="str">
        <x:v>8通道同步16bit ADC</x:v>
      </x:c>
      <x:c r="C18" s="11" t="str">
        <x:v>AD7606C-16BSTZ-RL</x:v>
      </x:c>
      <x:c r="D18" s="11" t="str">
        <x:v>Analog Devices</x:v>
      </x:c>
      <x:c r="E18" s="13" t="n">
        <x:v>0</x:v>
      </x:c>
      <x:c r="F18" s="14" t="n">
        <x:v>0.1</x:v>
      </x:c>
      <x:c r="G18" s="13" t="n">
        <x:f>ROUNDUP(E18*(1+F18),0)</x:f>
        <x:v>0</x:v>
      </x:c>
      <x:c r="H18" s="11" t="str"/>
      <x:c r="I18" s="11" t="str">
        <x:v>LQFP64 ST-64-2; Pin1/native footprint/order suffix HOLD; Pin1/EP原生库待核</x:v>
      </x:c>
      <x:c r="J18" s="11" t="str">
        <x:v>AVCC4.75..5.25V; VDRIVE3V3 candidate; highBW220kHz +/-5VSE</x:v>
      </x:c>
      <x:c r="K18" s="11" t="n">
        <x:v>0.05</x:v>
      </x:c>
      <x:c r="L18" s="11" t="str">
        <x:v>LOCAL12V / 5V / 3V3</x:v>
      </x:c>
      <x:c r="M18" s="11" t="str">
        <x:v>https://www.analog.com/media/en/technical-documentation/data-sheets/ad7606c-16.pdf</x:v>
      </x:c>
      <x:c r="N18" s="11" t="str">
        <x:v>授权渠道待选；不默认替代</x:v>
      </x:c>
      <x:c r="O18" s="11" t="str">
        <x:v>Rev.A</x:v>
      </x:c>
      <x:c r="P18" s="11" t="str">
        <x:v>2026-10-11</x:v>
      </x:c>
      <x:c r="Q18" s="11" t="str">
        <x:v>DESIGN_SELECTED_DEVICE_DIRECTION_ELECTRICAL_HOLD</x:v>
      </x:c>
      <x:c r="R18" s="11" t="str">
        <x:v>User v5 scope; no procurement permission</x:v>
      </x:c>
      <x:c r="S18" s="11" t="str">
        <x:v>50mA max AVCC1MSPS data-sheet envelope only; add VDRIVE/reference/AFE/startup; not measured central budget</x:v>
      </x:c>
      <x:c r="T18" s="11" t="str">
        <x:v>UNKNOWN</x:v>
      </x:c>
      <x:c r="U18" s="11" t="str">
        <x:v>背面电子件 / 正面TX RX</x:v>
      </x:c>
      <x:c r="V18" s="11" t="str">
        <x:v>HOLD</x:v>
      </x:c>
    </x:row>
    <x:row r="19" ht="64" customHeight="1">
      <x:c r="A19" s="11" t="str">
        <x:v>B-015</x:v>
      </x:c>
      <x:c r="B19" s="11" t="str">
        <x:v>ADC RC输入限流/缓冲网络</x:v>
      </x:c>
      <x:c r="C19" s="11" t="str">
        <x:v>47Ω+1nF C0G 组合</x:v>
      </x:c>
      <x:c r="D19" s="11" t="str">
        <x:v>UNKNOWN_VERIFY</x:v>
      </x:c>
      <x:c r="E19" s="13" t="n">
        <x:v>0</x:v>
      </x:c>
      <x:c r="F19" s="14" t="n">
        <x:v>0.1</x:v>
      </x:c>
      <x:c r="G19" s="13" t="n">
        <x:f>ROUNDUP(E19*(1+F19),0)</x:f>
        <x:v>0</x:v>
      </x:c>
      <x:c r="H19" s="11" t="str"/>
      <x:c r="I19" s="11" t="str">
        <x:v>离散; Pin1/EP原生库待核</x:v>
      </x:c>
      <x:c r="J19" s="11" t="str">
        <x:v>8路; 初值非最终ADC驱动网络</x:v>
      </x:c>
      <x:c r="K19" s="11" t="str">
        <x:v>UNKNOWN</x:v>
      </x:c>
      <x:c r="L19" s="11" t="str">
        <x:v>LOCAL12V / 5V / 3V3</x:v>
      </x:c>
      <x:c r="M19" s="11" t="str">
        <x:v>https://www.analog.com/en/products/ad7606b.html</x:v>
      </x:c>
      <x:c r="N19" s="11" t="str">
        <x:v>授权渠道待选；不默认替代</x:v>
      </x:c>
      <x:c r="O19" s="11" t="str">
        <x:v>UNKNOWN_VERIFY</x:v>
      </x:c>
      <x:c r="P19" s="11" t="str">
        <x:v>2026-10-11</x:v>
      </x:c>
      <x:c r="Q19" s="11" t="str">
        <x:v>INHERITED_CANDIDATE_REQUIRES_NATIVE_PIN_REVIEW</x:v>
      </x:c>
      <x:c r="R19" s="11" t="str">
        <x:v>User v5 scope; no procurement permission</x:v>
      </x:c>
      <x:c r="S19" s="11" t="str">
        <x:v>Inherited candidate quantity; netlist/thermal review pending</x:v>
      </x:c>
      <x:c r="T19" s="11" t="str">
        <x:v>UNKNOWN</x:v>
      </x:c>
      <x:c r="U19" s="11" t="str">
        <x:v>背面电子件 / 正面TX RX</x:v>
      </x:c>
      <x:c r="V19" s="11" t="str">
        <x:v>HOLD</x:v>
      </x:c>
    </x:row>
    <x:row r="20" ht="64" customHeight="1">
      <x:c r="A20" s="11" t="str">
        <x:v>B-016</x:v>
      </x:c>
      <x:c r="B20" s="11" t="str">
        <x:v>ADC基准去耦/配置网络</x:v>
      </x:c>
      <x:c r="C20" s="11" t="str">
        <x:v>AD7606C16_REFERENCE_DECOUPLING_ALLOCATION</x:v>
      </x:c>
      <x:c r="D20" s="11" t="str">
        <x:v>UNKNOWN_VERIFY</x:v>
      </x:c>
      <x:c r="E20" s="13" t="n">
        <x:v>0</x:v>
      </x:c>
      <x:c r="F20" s="14" t="n">
        <x:v>0.1</x:v>
      </x:c>
      <x:c r="G20" s="13" t="n">
        <x:f>ROUNDUP(E20*(1+F20),0)</x:f>
        <x:v>0</x:v>
      </x:c>
      <x:c r="H20" s="11" t="str"/>
      <x:c r="I20" s="11" t="str">
        <x:v>ALLOCATION_NOTE_NOT_A_PHYSICAL_COMPONENT; Pin1/EP原生库待核</x:v>
      </x:c>
      <x:c r="J20" s="11" t="str">
        <x:v>按ADI推荐布局；与REF5025 RX偏置区分</x:v>
      </x:c>
      <x:c r="K20" s="11" t="str">
        <x:v>UNKNOWN</x:v>
      </x:c>
      <x:c r="L20" s="11" t="str">
        <x:v>LOCAL12V / 5V / 3V3</x:v>
      </x:c>
      <x:c r="M20" s="11" t="str">
        <x:v>https://www.analog.com/en/products/ad7606b.html</x:v>
      </x:c>
      <x:c r="N20" s="11" t="str">
        <x:v>授权渠道待选；不默认替代</x:v>
      </x:c>
      <x:c r="O20" s="11" t="str">
        <x:v>UNKNOWN_VERIFY</x:v>
      </x:c>
      <x:c r="P20" s="11" t="str">
        <x:v>2026-10-11</x:v>
      </x:c>
      <x:c r="Q20" s="11" t="str">
        <x:v>INHERITED_CANDIDATE_REQUIRES_NATIVE_PIN_REVIEW</x:v>
      </x:c>
      <x:c r="R20" s="11" t="str">
        <x:v>User v5 scope; no procurement permission</x:v>
      </x:c>
      <x:c r="S20" s="11" t="str">
        <x:v>B047central2: REGCAP36/39 each1uF; B049one: REFCAP44+45 10uF lowESR; B046one REFIN42 100nF and four AVCC bypass; remaining aggregate caps require pin-level allocation</x:v>
      </x:c>
      <x:c r="T20" s="11" t="str">
        <x:v>UNKNOWN</x:v>
      </x:c>
      <x:c r="U20" s="11" t="str">
        <x:v>背面电子件 / 正面TX RX</x:v>
      </x:c>
      <x:c r="V20" s="11" t="str">
        <x:v>HOLD</x:v>
      </x:c>
    </x:row>
    <x:row r="21" ht="64" customHeight="1">
      <x:c r="A21" s="11" t="str">
        <x:v>B-017</x:v>
      </x:c>
      <x:c r="B21" s="11" t="str">
        <x:v>温湿度传感器</x:v>
      </x:c>
      <x:c r="C21" s="11" t="str">
        <x:v>SHT45-AD1B-R2</x:v>
      </x:c>
      <x:c r="D21" s="11" t="str">
        <x:v>UNKNOWN_VERIFY</x:v>
      </x:c>
      <x:c r="E21" s="13" t="n">
        <x:v>0</x:v>
      </x:c>
      <x:c r="F21" s="14" t="n">
        <x:v>0.1</x:v>
      </x:c>
      <x:c r="G21" s="13" t="n">
        <x:f>ROUNDUP(E21*(1+F21),0)</x:f>
        <x:v>0</x:v>
      </x:c>
      <x:c r="H21" s="11" t="str"/>
      <x:c r="I21" s="11" t="str">
        <x:v>DFN-4; Pin1/EP原生库待核</x:v>
      </x:c>
      <x:c r="J21" s="11" t="str">
        <x:v>I2C，远离发射功率温升</x:v>
      </x:c>
      <x:c r="K21" s="11" t="str">
        <x:v>UNKNOWN</x:v>
      </x:c>
      <x:c r="L21" s="11" t="str">
        <x:v>LOCAL12V / 5V / 3V3</x:v>
      </x:c>
      <x:c r="M21" s="11" t="str">
        <x:v>https://sensirion.com/products/catalog/SHT45</x:v>
      </x:c>
      <x:c r="N21" s="11" t="str">
        <x:v>授权渠道待选；不默认替代</x:v>
      </x:c>
      <x:c r="O21" s="11" t="str">
        <x:v>UNKNOWN_VERIFY</x:v>
      </x:c>
      <x:c r="P21" s="11" t="str">
        <x:v>2026-10-11</x:v>
      </x:c>
      <x:c r="Q21" s="11" t="str">
        <x:v>INHERITED_CANDIDATE_REQUIRES_NATIVE_PIN_REVIEW</x:v>
      </x:c>
      <x:c r="R21" s="11" t="str">
        <x:v>User v5 scope; no procurement permission</x:v>
      </x:c>
      <x:c r="S21" s="11" t="str">
        <x:v>SUPERSEDED_OR_OPTIONAL_DNP: see new H entries; not installed twice</x:v>
      </x:c>
      <x:c r="T21" s="11" t="str">
        <x:v>UNKNOWN</x:v>
      </x:c>
      <x:c r="U21" s="11" t="str">
        <x:v>背面电子件 / 正面TX RX</x:v>
      </x:c>
      <x:c r="V21" s="11" t="str">
        <x:v>HOLD</x:v>
      </x:c>
    </x:row>
    <x:row r="22" ht="64" customHeight="1">
      <x:c r="A22" s="11" t="str">
        <x:v>B-018</x:v>
      </x:c>
      <x:c r="B22" s="11" t="str">
        <x:v>独立12V电源输入座</x:v>
      </x:c>
      <x:c r="C22" s="11" t="str">
        <x:v>XT30PW-M30.G.Y</x:v>
      </x:c>
      <x:c r="D22" s="11" t="str">
        <x:v>UNKNOWN_VERIFY</x:v>
      </x:c>
      <x:c r="E22" s="13" t="n">
        <x:v>0</x:v>
      </x:c>
      <x:c r="F22" s="14" t="n">
        <x:v>0.1</x:v>
      </x:c>
      <x:c r="G22" s="13" t="n">
        <x:f>ROUNDUP(E22*(1+F22),0)</x:f>
        <x:v>0</x:v>
      </x:c>
      <x:c r="H22" s="11" t="str"/>
      <x:c r="I22" s="11" t="str">
        <x:v>THT; Pin1/EP原生库待核</x:v>
      </x:c>
      <x:c r="J22" s="11" t="str">
        <x:v>每阵列专属PWR_UP_IN/PWR_LO_IN；不得从J10/J11取功率</x:v>
      </x:c>
      <x:c r="K22" s="11" t="str">
        <x:v>UNKNOWN</x:v>
      </x:c>
      <x:c r="L22" s="11" t="str">
        <x:v>LOCAL12V / 5V / 3V3</x:v>
      </x:c>
      <x:c r="M22" s="11" t="str">
        <x:v>https://www.lcsc.com</x:v>
      </x:c>
      <x:c r="N22" s="11" t="str">
        <x:v>授权渠道待选；不默认替代</x:v>
      </x:c>
      <x:c r="O22" s="11" t="str">
        <x:v>UNKNOWN_VERIFY</x:v>
      </x:c>
      <x:c r="P22" s="11" t="str">
        <x:v>2026-10-11</x:v>
      </x:c>
      <x:c r="Q22" s="11" t="str">
        <x:v>INHERITED_CANDIDATE_REQUIRES_NATIVE_PIN_REVIEW</x:v>
      </x:c>
      <x:c r="R22" s="11" t="str">
        <x:v>User v5 scope; no procurement permission</x:v>
      </x:c>
      <x:c r="S22" s="11" t="str">
        <x:v>SUPERSEDED_OR_OPTIONAL_DNP: see new H entries; not installed twice</x:v>
      </x:c>
      <x:c r="T22" s="11" t="str">
        <x:v>UNKNOWN</x:v>
      </x:c>
      <x:c r="U22" s="11" t="str">
        <x:v>背面电子件 / 正面TX RX</x:v>
      </x:c>
      <x:c r="V22" s="11" t="str">
        <x:v>HOLD</x:v>
      </x:c>
    </x:row>
    <x:row r="23" ht="64" customHeight="1">
      <x:c r="A23" s="11" t="str">
        <x:v>B-019</x:v>
      </x:c>
      <x:c r="B23" s="11" t="str">
        <x:v>中央辅助电源接口</x:v>
      </x:c>
      <x:c r="C23" s="11" t="str">
        <x:v>XT30PW-M30.G.Y</x:v>
      </x:c>
      <x:c r="D23" s="11" t="str">
        <x:v>UNKNOWN_VERIFY</x:v>
      </x:c>
      <x:c r="E23" s="13" t="n">
        <x:v>0</x:v>
      </x:c>
      <x:c r="F23" s="14" t="n">
        <x:v>0.1</x:v>
      </x:c>
      <x:c r="G23" s="13" t="n">
        <x:f>ROUNDUP(E23*(1+F23),0)</x:f>
        <x:v>0</x:v>
      </x:c>
      <x:c r="H23" s="11" t="str"/>
      <x:c r="I23" s="11" t="str">
        <x:v>THT; Pin1/EP原生库待核</x:v>
      </x:c>
      <x:c r="J23" s="11" t="str">
        <x:v>为中央ADC与辅助逻辑提供独立电源；AX7020开发板自带电源独立</x:v>
      </x:c>
      <x:c r="K23" s="11" t="str">
        <x:v>UNKNOWN</x:v>
      </x:c>
      <x:c r="L23" s="11" t="str">
        <x:v>LOCAL12V / 5V / 3V3</x:v>
      </x:c>
      <x:c r="M23" s="11" t="str">
        <x:v>https://www.lcsc.com</x:v>
      </x:c>
      <x:c r="N23" s="11" t="str">
        <x:v>授权渠道待选；不默认替代</x:v>
      </x:c>
      <x:c r="O23" s="11" t="str">
        <x:v>UNKNOWN_VERIFY</x:v>
      </x:c>
      <x:c r="P23" s="11" t="str">
        <x:v>2026-10-11</x:v>
      </x:c>
      <x:c r="Q23" s="11" t="str">
        <x:v>INHERITED_CANDIDATE_REQUIRES_NATIVE_PIN_REVIEW</x:v>
      </x:c>
      <x:c r="R23" s="11" t="str">
        <x:v>User v5 scope; no procurement permission</x:v>
      </x:c>
      <x:c r="S23" s="11" t="str">
        <x:v>Removed central external power path; central AX7020-only source</x:v>
      </x:c>
      <x:c r="T23" s="11" t="str">
        <x:v>UNKNOWN</x:v>
      </x:c>
      <x:c r="U23" s="11" t="str">
        <x:v>背面电子件 / 正面TX RX</x:v>
      </x:c>
      <x:c r="V23" s="11" t="str">
        <x:v>HOLD</x:v>
      </x:c>
    </x:row>
    <x:row r="24" ht="64" customHeight="1">
      <x:c r="A24" s="11" t="str">
        <x:v>B-020</x:v>
      </x:c>
      <x:c r="B24" s="11" t="str">
        <x:v>正向/反向/过流eFuse</x:v>
      </x:c>
      <x:c r="C24" s="11" t="str">
        <x:v>TPS259470LRPWR</x:v>
      </x:c>
      <x:c r="D24" s="11" t="str">
        <x:v>UNKNOWN_VERIFY</x:v>
      </x:c>
      <x:c r="E24" s="13" t="n">
        <x:v>0</x:v>
      </x:c>
      <x:c r="F24" s="14" t="n">
        <x:v>0.1</x:v>
      </x:c>
      <x:c r="G24" s="13" t="n">
        <x:f>ROUNDUP(E24*(1+F24),0)</x:f>
        <x:v>0</x:v>
      </x:c>
      <x:c r="H24" s="11" t="str"/>
      <x:c r="I24" s="11" t="str">
        <x:v>VQFN-10; Pin1/EP原生库待核</x:v>
      </x:c>
      <x:c r="J24" s="11" t="str">
        <x:v>三路电源各自配置ILIM/OVLO；历史2A只是候选</x:v>
      </x:c>
      <x:c r="K24" s="11" t="str">
        <x:v>UNKNOWN</x:v>
      </x:c>
      <x:c r="L24" s="11" t="str">
        <x:v>LOCAL12V / 5V / 3V3</x:v>
      </x:c>
      <x:c r="M24" s="11" t="str">
        <x:v>https://www.ti.com/product/TPS25947</x:v>
      </x:c>
      <x:c r="N24" s="11" t="str">
        <x:v>授权渠道待选；不默认替代</x:v>
      </x:c>
      <x:c r="O24" s="11" t="str">
        <x:v>UNKNOWN_VERIFY</x:v>
      </x:c>
      <x:c r="P24" s="11" t="str">
        <x:v>2026-10-11</x:v>
      </x:c>
      <x:c r="Q24" s="11" t="str">
        <x:v>INHERITED_CANDIDATE_REQUIRES_NATIVE_PIN_REVIEW</x:v>
      </x:c>
      <x:c r="R24" s="11" t="str">
        <x:v>User v5 scope; no procurement permission</x:v>
      </x:c>
      <x:c r="S24" s="11" t="str">
        <x:v>SUPERSEDED_OR_OPTIONAL_DNP: see new H entries; not installed twice</x:v>
      </x:c>
      <x:c r="T24" s="11" t="str">
        <x:v>UNKNOWN</x:v>
      </x:c>
      <x:c r="U24" s="11" t="str">
        <x:v>背面电子件 / 正面TX RX</x:v>
      </x:c>
      <x:c r="V24" s="11" t="str">
        <x:v>HOLD</x:v>
      </x:c>
    </x:row>
    <x:row r="25" ht="64" customHeight="1">
      <x:c r="A25" s="11" t="str">
        <x:v>B-021</x:v>
      </x:c>
      <x:c r="B25" s="11" t="str">
        <x:v>电源监控IC</x:v>
      </x:c>
      <x:c r="C25" s="11" t="str">
        <x:v>INA226AIDGSR</x:v>
      </x:c>
      <x:c r="D25" s="11" t="str">
        <x:v>UNKNOWN_VERIFY</x:v>
      </x:c>
      <x:c r="E25" s="13" t="n">
        <x:v>1</x:v>
      </x:c>
      <x:c r="F25" s="14" t="n">
        <x:v>0.1</x:v>
      </x:c>
      <x:c r="G25" s="13" t="n">
        <x:f>ROUNDUP(E25*(1+F25),0)</x:f>
        <x:v>2</x:v>
      </x:c>
      <x:c r="H25" s="11" t="str">
        <x:v>DN_B021_001</x:v>
      </x:c>
      <x:c r="I25" s="11" t="str">
        <x:v>VSSOP-10; Pin1/EP原生库待核</x:v>
      </x:c>
      <x:c r="J25" s="11" t="str">
        <x:v>两阵列+中央各一颗，shunt实际功耗需核算</x:v>
      </x:c>
      <x:c r="K25" s="11" t="str">
        <x:v>UNKNOWN</x:v>
      </x:c>
      <x:c r="L25" s="11" t="str">
        <x:v>LOCAL12V / 5V / 3V3</x:v>
      </x:c>
      <x:c r="M25" s="11" t="str">
        <x:v>https://www.ti.com/product/INA226</x:v>
      </x:c>
      <x:c r="N25" s="11" t="str">
        <x:v>授权渠道待选；不默认替代</x:v>
      </x:c>
      <x:c r="O25" s="11" t="str">
        <x:v>UNKNOWN_VERIFY</x:v>
      </x:c>
      <x:c r="P25" s="11" t="str">
        <x:v>2026-10-11</x:v>
      </x:c>
      <x:c r="Q25" s="11" t="str">
        <x:v>INHERITED_CANDIDATE_REQUIRES_NATIVE_PIN_REVIEW</x:v>
      </x:c>
      <x:c r="R25" s="11" t="str">
        <x:v>User v5 scope; no procurement permission</x:v>
      </x:c>
      <x:c r="S25" s="11" t="str">
        <x:v>Inherited candidate quantity; netlist/thermal review pending</x:v>
      </x:c>
      <x:c r="T25" s="11" t="str">
        <x:v>UNKNOWN</x:v>
      </x:c>
      <x:c r="U25" s="11" t="str">
        <x:v>背面电子件 / 正面TX RX</x:v>
      </x:c>
      <x:c r="V25" s="11" t="str">
        <x:v>HOLD</x:v>
      </x:c>
    </x:row>
    <x:row r="26" ht="64" customHeight="1">
      <x:c r="A26" s="11" t="str">
        <x:v>B-022</x:v>
      </x:c>
      <x:c r="B26" s="11" t="str">
        <x:v>低值分流电阻</x:v>
      </x:c>
      <x:c r="C26" s="11" t="str">
        <x:v>20mΩ 2512 1% 2W</x:v>
      </x:c>
      <x:c r="D26" s="11" t="str">
        <x:v>UNKNOWN_VERIFY</x:v>
      </x:c>
      <x:c r="E26" s="13" t="n">
        <x:v>1</x:v>
      </x:c>
      <x:c r="F26" s="14" t="n">
        <x:v>0.1</x:v>
      </x:c>
      <x:c r="G26" s="13" t="n">
        <x:f>ROUNDUP(E26*(1+F26),0)</x:f>
        <x:v>2</x:v>
      </x:c>
      <x:c r="H26" s="11" t="str">
        <x:v>DN_B022_001</x:v>
      </x:c>
      <x:c r="I26" s="11" t="str">
        <x:v>2512; Pin1/EP原生库待核</x:v>
      </x:c>
      <x:c r="J26" s="11" t="str">
        <x:v>20mΩ：INA226电流测量满量程约±4.096A</x:v>
      </x:c>
      <x:c r="K26" s="11" t="str">
        <x:v>UNKNOWN</x:v>
      </x:c>
      <x:c r="L26" s="11" t="str">
        <x:v>LOCAL12V / 5V / 3V3</x:v>
      </x:c>
      <x:c r="M26" s="11" t="str">
        <x:v>https://www.lcsc.com</x:v>
      </x:c>
      <x:c r="N26" s="11" t="str">
        <x:v>授权渠道待选；不默认替代</x:v>
      </x:c>
      <x:c r="O26" s="11" t="str">
        <x:v>UNKNOWN_VERIFY</x:v>
      </x:c>
      <x:c r="P26" s="11" t="str">
        <x:v>2026-10-11</x:v>
      </x:c>
      <x:c r="Q26" s="11" t="str">
        <x:v>INHERITED_CANDIDATE_REQUIRES_NATIVE_PIN_REVIEW</x:v>
      </x:c>
      <x:c r="R26" s="11" t="str">
        <x:v>User v5 scope; no procurement permission</x:v>
      </x:c>
      <x:c r="S26" s="11" t="str">
        <x:v>Inherited candidate quantity; netlist/thermal review pending</x:v>
      </x:c>
      <x:c r="T26" s="11" t="str">
        <x:v>UNKNOWN</x:v>
      </x:c>
      <x:c r="U26" s="11" t="str">
        <x:v>背面电子件 / 正面TX RX</x:v>
      </x:c>
      <x:c r="V26" s="11" t="str">
        <x:v>HOLD</x:v>
      </x:c>
    </x:row>
    <x:row r="27" ht="64" customHeight="1">
      <x:c r="A27" s="11" t="str">
        <x:v>B-023</x:v>
      </x:c>
      <x:c r="B27" s="11" t="str">
        <x:v>输入TVS</x:v>
      </x:c>
      <x:c r="C27" s="11" t="str">
        <x:v>SMBJ20A 类</x:v>
      </x:c>
      <x:c r="D27" s="11" t="str">
        <x:v>UNKNOWN_VERIFY</x:v>
      </x:c>
      <x:c r="E27" s="13" t="n">
        <x:v>0</x:v>
      </x:c>
      <x:c r="F27" s="14" t="n">
        <x:v>0.1</x:v>
      </x:c>
      <x:c r="G27" s="13" t="n">
        <x:f>ROUNDUP(E27*(1+F27),0)</x:f>
        <x:v>0</x:v>
      </x:c>
      <x:c r="H27" s="11" t="str"/>
      <x:c r="I27" s="11" t="str">
        <x:v>SMB; Pin1/EP原生库待核</x:v>
      </x:c>
      <x:c r="J27" s="11" t="str">
        <x:v>SMBJ20A候选撤销释放；32.4V钳位高于eFuse28V abs max</x:v>
      </x:c>
      <x:c r="K27" s="11" t="str">
        <x:v>UNKNOWN</x:v>
      </x:c>
      <x:c r="L27" s="11" t="str">
        <x:v>LOCAL12V / 5V / 3V3</x:v>
      </x:c>
      <x:c r="M27" s="11" t="str">
        <x:v>https://www.littelfuse.com/products/tvs-diodes/smbj.aspx</x:v>
      </x:c>
      <x:c r="N27" s="11" t="str">
        <x:v>授权渠道待选；不默认替代</x:v>
      </x:c>
      <x:c r="O27" s="11" t="str">
        <x:v>UNKNOWN_VERIFY</x:v>
      </x:c>
      <x:c r="P27" s="11" t="str">
        <x:v>2026-10-11</x:v>
      </x:c>
      <x:c r="Q27" s="11" t="str">
        <x:v>INHERITED_CANDIDATE_REQUIRES_NATIVE_PIN_REVIEW</x:v>
      </x:c>
      <x:c r="R27" s="11" t="str">
        <x:v>User v5 scope; no procurement permission</x:v>
      </x:c>
      <x:c r="S27" s="11" t="str">
        <x:v>Old SMBJ20A removed from installed candidate; replacement requires clamp/energy proof</x:v>
      </x:c>
      <x:c r="T27" s="11" t="str">
        <x:v>UNKNOWN</x:v>
      </x:c>
      <x:c r="U27" s="11" t="str">
        <x:v>背面电子件 / 正面TX RX</x:v>
      </x:c>
      <x:c r="V27" s="11" t="str">
        <x:v>HOLD</x:v>
      </x:c>
    </x:row>
    <x:row r="28" ht="64" customHeight="1">
      <x:c r="A28" s="11" t="str">
        <x:v>B-024</x:v>
      </x:c>
      <x:c r="B28" s="11" t="str">
        <x:v>独立熔断器及座</x:v>
      </x:c>
      <x:c r="C28" s="11" t="str">
        <x:v>2A 慢断候选，具体值TBD</x:v>
      </x:c>
      <x:c r="D28" s="11" t="str">
        <x:v>UNKNOWN_VERIFY</x:v>
      </x:c>
      <x:c r="E28" s="13" t="n">
        <x:v>0</x:v>
      </x:c>
      <x:c r="F28" s="14" t="n">
        <x:v>0.1</x:v>
      </x:c>
      <x:c r="G28" s="13" t="n">
        <x:f>ROUNDUP(E28*(1+F28),0)</x:f>
        <x:v>0</x:v>
      </x:c>
      <x:c r="H28" s="11" t="str"/>
      <x:c r="I28" s="11" t="str">
        <x:v>TBD; Pin1/EP原生库待核</x:v>
      </x:c>
      <x:c r="J28" s="11" t="str">
        <x:v>3路/需按实测峰值选值</x:v>
      </x:c>
      <x:c r="K28" s="11" t="str">
        <x:v>UNKNOWN</x:v>
      </x:c>
      <x:c r="L28" s="11" t="str">
        <x:v>LOCAL12V / 5V / 3V3</x:v>
      </x:c>
      <x:c r="M28" s="11" t="str">
        <x:v>https://www.lcsc.com</x:v>
      </x:c>
      <x:c r="N28" s="11" t="str">
        <x:v>授权渠道待选；不默认替代</x:v>
      </x:c>
      <x:c r="O28" s="11" t="str">
        <x:v>UNKNOWN_VERIFY</x:v>
      </x:c>
      <x:c r="P28" s="11" t="str">
        <x:v>2026-10-11</x:v>
      </x:c>
      <x:c r="Q28" s="11" t="str">
        <x:v>INHERITED_CANDIDATE_REQUIRES_NATIVE_PIN_REVIEW</x:v>
      </x:c>
      <x:c r="R28" s="11" t="str">
        <x:v>User v5 scope; no procurement permission</x:v>
      </x:c>
      <x:c r="S28" s="11" t="str">
        <x:v>Old eFuse removed; TPS26631 path below is new candidate</x:v>
      </x:c>
      <x:c r="T28" s="11" t="str">
        <x:v>UNKNOWN</x:v>
      </x:c>
      <x:c r="U28" s="11" t="str">
        <x:v>背面电子件 / 正面TX RX</x:v>
      </x:c>
      <x:c r="V28" s="11" t="str">
        <x:v>HOLD</x:v>
      </x:c>
    </x:row>
    <x:row r="29" ht="64" customHeight="1">
      <x:c r="A29" s="11" t="str">
        <x:v>B-025</x:v>
      </x:c>
      <x:c r="B29" s="11" t="str">
        <x:v>板级电源总开关/硬件急停输入</x:v>
      </x:c>
      <x:c r="C29" s="11" t="str">
        <x:v>E-STOP接口 + NC触点/继电开关待定</x:v>
      </x:c>
      <x:c r="D29" s="11" t="str">
        <x:v>UNKNOWN_VERIFY</x:v>
      </x:c>
      <x:c r="E29" s="13" t="n">
        <x:v>1</x:v>
      </x:c>
      <x:c r="F29" s="14" t="n">
        <x:v>0.1</x:v>
      </x:c>
      <x:c r="G29" s="13" t="n">
        <x:f>ROUNDUP(E29*(1+F29),0)</x:f>
        <x:v>2</x:v>
      </x:c>
      <x:c r="H29" s="11" t="str">
        <x:v>DN_B025_001</x:v>
      </x:c>
      <x:c r="I29" s="11" t="str">
        <x:v>TBD; Pin1/EP原生库待核</x:v>
      </x:c>
      <x:c r="J29" s="11" t="str">
        <x:v>硬件切断driver enable或电源域，二选一/组合实测</x:v>
      </x:c>
      <x:c r="K29" s="11" t="str">
        <x:v>UNKNOWN</x:v>
      </x:c>
      <x:c r="L29" s="11" t="str">
        <x:v>LOCAL12V / 5V / 3V3</x:v>
      </x:c>
      <x:c r="M29" s="11" t="str">
        <x:v>https://www.ti.com/product/TPS25947</x:v>
      </x:c>
      <x:c r="N29" s="11" t="str">
        <x:v>授权渠道待选；不默认替代</x:v>
      </x:c>
      <x:c r="O29" s="11" t="str">
        <x:v>UNKNOWN_VERIFY</x:v>
      </x:c>
      <x:c r="P29" s="11" t="str">
        <x:v>2026-10-11</x:v>
      </x:c>
      <x:c r="Q29" s="11" t="str">
        <x:v>INHERITED_CANDIDATE_REQUIRES_NATIVE_PIN_REVIEW</x:v>
      </x:c>
      <x:c r="R29" s="11" t="str">
        <x:v>User v5 scope; no procurement permission</x:v>
      </x:c>
      <x:c r="S29" s="11" t="str">
        <x:v>Inherited candidate quantity; netlist/thermal review pending</x:v>
      </x:c>
      <x:c r="T29" s="11" t="str">
        <x:v>UNKNOWN</x:v>
      </x:c>
      <x:c r="U29" s="11" t="str">
        <x:v>背面电子件 / 正面TX RX</x:v>
      </x:c>
      <x:c r="V29" s="11" t="str">
        <x:v>HOLD</x:v>
      </x:c>
    </x:row>
    <x:row r="30" ht="64" customHeight="1">
      <x:c r="A30" s="11" t="str">
        <x:v>B-026</x:v>
      </x:c>
      <x:c r="B30" s="11" t="str">
        <x:v>本地PGOOD与FAULT反馈电路</x:v>
      </x:c>
      <x:c r="C30" s="11" t="str">
        <x:v>开漏/拉升/隔离网络 TBD</x:v>
      </x:c>
      <x:c r="D30" s="11" t="str">
        <x:v>UNKNOWN_VERIFY</x:v>
      </x:c>
      <x:c r="E30" s="13" t="n">
        <x:v>1</x:v>
      </x:c>
      <x:c r="F30" s="14" t="n">
        <x:v>0.1</x:v>
      </x:c>
      <x:c r="G30" s="13" t="n">
        <x:f>ROUNDUP(E30*(1+F30),0)</x:f>
        <x:v>2</x:v>
      </x:c>
      <x:c r="H30" s="11" t="str">
        <x:v>DN_B026_001</x:v>
      </x:c>
      <x:c r="I30" s="11" t="str">
        <x:v>离散; Pin1/EP原生库待核</x:v>
      </x:c>
      <x:c r="J30" s="11" t="str">
        <x:v>每板输出LOCAL_PGOOD/LOCAL_FAULT</x:v>
      </x:c>
      <x:c r="K30" s="11" t="str">
        <x:v>UNKNOWN</x:v>
      </x:c>
      <x:c r="L30" s="11" t="str">
        <x:v>LOCAL12V / 5V / 3V3</x:v>
      </x:c>
      <x:c r="M30" s="11" t="str">
        <x:v>https://www.ti.com/product/SN74AXC8T245</x:v>
      </x:c>
      <x:c r="N30" s="11" t="str">
        <x:v>授权渠道待选；不默认替代</x:v>
      </x:c>
      <x:c r="O30" s="11" t="str">
        <x:v>UNKNOWN_VERIFY</x:v>
      </x:c>
      <x:c r="P30" s="11" t="str">
        <x:v>2026-10-11</x:v>
      </x:c>
      <x:c r="Q30" s="11" t="str">
        <x:v>INHERITED_CANDIDATE_REQUIRES_NATIVE_PIN_REVIEW</x:v>
      </x:c>
      <x:c r="R30" s="11" t="str">
        <x:v>User v5 scope; no procurement permission</x:v>
      </x:c>
      <x:c r="S30" s="11" t="str">
        <x:v>Inherited candidate quantity; netlist/thermal review pending</x:v>
      </x:c>
      <x:c r="T30" s="11" t="str">
        <x:v>UNKNOWN</x:v>
      </x:c>
      <x:c r="U30" s="11" t="str">
        <x:v>背面电子件 / 正面TX RX</x:v>
      </x:c>
      <x:c r="V30" s="11" t="str">
        <x:v>HOLD</x:v>
      </x:c>
    </x:row>
    <x:row r="31" ht="64" customHeight="1">
      <x:c r="A31" s="11" t="str">
        <x:v>B-027</x:v>
      </x:c>
      <x:c r="B31" s="11" t="str">
        <x:v>3.3V数字电源DC/DC</x:v>
      </x:c>
      <x:c r="C31" s="11" t="str">
        <x:v>TPS54202DDCR</x:v>
      </x:c>
      <x:c r="D31" s="11" t="str">
        <x:v>Texas Instruments</x:v>
      </x:c>
      <x:c r="E31" s="13" t="n">
        <x:v>1</x:v>
      </x:c>
      <x:c r="F31" s="14" t="n">
        <x:v>0.1</x:v>
      </x:c>
      <x:c r="G31" s="13" t="n">
        <x:f>ROUNDUP(E31*(1+F31),0)</x:f>
        <x:v>2</x:v>
      </x:c>
      <x:c r="H31" s="11" t="str">
        <x:v>DN_B027_001</x:v>
      </x:c>
      <x:c r="I31" s="11" t="str">
        <x:v>SOT23_6_DDC; Pin1/EP原生库待核</x:v>
      </x:c>
      <x:c r="J31" s="11" t="str">
        <x:v>每板12V→3.3V；负载核验</x:v>
      </x:c>
      <x:c r="K31" s="11" t="str">
        <x:v>UNKNOWN</x:v>
      </x:c>
      <x:c r="L31" s="11" t="str">
        <x:v>LOCAL12V / 5V / 3V3</x:v>
      </x:c>
      <x:c r="M31" s="11" t="str">
        <x:v>https://www.ti.com/lit/ds/symlink/tps54202.pdf</x:v>
      </x:c>
      <x:c r="N31" s="11" t="str">
        <x:v>授权渠道待选；不默认替代</x:v>
      </x:c>
      <x:c r="O31" s="11" t="str">
        <x:v>UNKNOWN_VERIFY</x:v>
      </x:c>
      <x:c r="P31" s="11" t="str">
        <x:v>2026-10-11</x:v>
      </x:c>
      <x:c r="Q31" s="11" t="str">
        <x:v>INHERITED_CANDIDATE_REQUIRES_NATIVE_PIN_REVIEW</x:v>
      </x:c>
      <x:c r="R31" s="11" t="str">
        <x:v>User v5 scope; no procurement permission</x:v>
      </x:c>
      <x:c r="S31" s="11" t="str">
        <x:v>12V to 3.3V digital; L/C/thermal/EMI design HOLD</x:v>
      </x:c>
      <x:c r="T31" s="11" t="str">
        <x:v>UNKNOWN</x:v>
      </x:c>
      <x:c r="U31" s="11" t="str">
        <x:v>背面电子件 / 正面TX RX</x:v>
      </x:c>
      <x:c r="V31" s="11" t="str">
        <x:v>HOLD</x:v>
      </x:c>
    </x:row>
    <x:row r="32" ht="64" customHeight="1">
      <x:c r="A32" s="11" t="str">
        <x:v>B-028</x:v>
      </x:c>
      <x:c r="B32" s="11" t="str">
        <x:v>5.5V可调DC/DC</x:v>
      </x:c>
      <x:c r="C32" s="11" t="str">
        <x:v>TPS54202DDCR</x:v>
      </x:c>
      <x:c r="D32" s="11" t="str">
        <x:v>Texas Instruments</x:v>
      </x:c>
      <x:c r="E32" s="13" t="n">
        <x:v>1</x:v>
      </x:c>
      <x:c r="F32" s="14" t="n">
        <x:v>0.1</x:v>
      </x:c>
      <x:c r="G32" s="13" t="n">
        <x:f>ROUNDUP(E32*(1+F32),0)</x:f>
        <x:v>2</x:v>
      </x:c>
      <x:c r="H32" s="11" t="str">
        <x:v>DN_B028_001</x:v>
      </x:c>
      <x:c r="I32" s="11" t="str">
        <x:v>SOT23_6_DDC; Pin1/EP原生库待核</x:v>
      </x:c>
      <x:c r="J32" s="11" t="str">
        <x:v>5.5V预稳压+5V LDO；按实际负载核验</x:v>
      </x:c>
      <x:c r="K32" s="11" t="str">
        <x:v>UNKNOWN</x:v>
      </x:c>
      <x:c r="L32" s="11" t="str">
        <x:v>LOCAL12V / 5V / 3V3</x:v>
      </x:c>
      <x:c r="M32" s="11" t="str">
        <x:v>https://www.ti.com/lit/ds/symlink/tps54202.pdf</x:v>
      </x:c>
      <x:c r="N32" s="11" t="str">
        <x:v>授权渠道待选；不默认替代</x:v>
      </x:c>
      <x:c r="O32" s="11" t="str">
        <x:v>UNKNOWN_VERIFY</x:v>
      </x:c>
      <x:c r="P32" s="11" t="str">
        <x:v>2026-10-11</x:v>
      </x:c>
      <x:c r="Q32" s="11" t="str">
        <x:v>INHERITED_CANDIDATE_REQUIRES_NATIVE_PIN_REVIEW</x:v>
      </x:c>
      <x:c r="R32" s="11" t="str">
        <x:v>User v5 scope; no procurement permission</x:v>
      </x:c>
      <x:c r="S32" s="11" t="str">
        <x:v>12V to 5.5V then existing5V AFE LDO; L/C/thermal/EMI design HOLD</x:v>
      </x:c>
      <x:c r="T32" s="11" t="str">
        <x:v>UNKNOWN</x:v>
      </x:c>
      <x:c r="U32" s="11" t="str">
        <x:v>背面电子件 / 正面TX RX</x:v>
      </x:c>
      <x:c r="V32" s="11" t="str">
        <x:v>HOLD</x:v>
      </x:c>
    </x:row>
    <x:row r="33" ht="64" customHeight="1">
      <x:c r="A33" s="11" t="str">
        <x:v>B-029</x:v>
      </x:c>
      <x:c r="B33" s="11" t="str">
        <x:v>5V低噪声LDO</x:v>
      </x:c>
      <x:c r="C33" s="11" t="str">
        <x:v>ADP7118ACPZN5.0-R7</x:v>
      </x:c>
      <x:c r="D33" s="11" t="str">
        <x:v>UNKNOWN_VERIFY</x:v>
      </x:c>
      <x:c r="E33" s="13" t="n">
        <x:v>1</x:v>
      </x:c>
      <x:c r="F33" s="14" t="n">
        <x:v>0.1</x:v>
      </x:c>
      <x:c r="G33" s="13" t="n">
        <x:f>ROUNDUP(E33*(1+F33),0)</x:f>
        <x:v>2</x:v>
      </x:c>
      <x:c r="H33" s="11" t="str">
        <x:v>DN_B029_001</x:v>
      </x:c>
      <x:c r="I33" s="11" t="str">
        <x:v>LFCSP-6 / CP-6-3 (EP=GND); Pin1/EP原生库待核</x:v>
      </x:c>
      <x:c r="J33" s="11" t="str">
        <x:v>输出能力/热耗按精确封装与Iload审核</x:v>
      </x:c>
      <x:c r="K33" s="11" t="str">
        <x:v>UNKNOWN</x:v>
      </x:c>
      <x:c r="L33" s="11" t="str">
        <x:v>LOCAL12V / 5V / 3V3</x:v>
      </x:c>
      <x:c r="M33" s="11" t="str">
        <x:v>https://www.analog.com/en/products/adp7118.html</x:v>
      </x:c>
      <x:c r="N33" s="11" t="str">
        <x:v>授权渠道待选；不默认替代</x:v>
      </x:c>
      <x:c r="O33" s="11" t="str">
        <x:v>UNKNOWN_VERIFY</x:v>
      </x:c>
      <x:c r="P33" s="11" t="str">
        <x:v>2026-10-11</x:v>
      </x:c>
      <x:c r="Q33" s="11" t="str">
        <x:v>INHERITED_CANDIDATE_REQUIRES_NATIVE_PIN_REVIEW</x:v>
      </x:c>
      <x:c r="R33" s="11" t="str">
        <x:v>User v5 scope; no procurement permission</x:v>
      </x:c>
      <x:c r="S33" s="11" t="str">
        <x:v>No central12V supply/converter or5V-to5V LDO headroom; central header budget HOLD</x:v>
      </x:c>
      <x:c r="T33" s="11" t="str">
        <x:v>UNKNOWN</x:v>
      </x:c>
      <x:c r="U33" s="11" t="str">
        <x:v>背面电子件 / 正面TX RX</x:v>
      </x:c>
      <x:c r="V33" s="11" t="str">
        <x:v>HOLD</x:v>
      </x:c>
    </x:row>
    <x:row r="34" ht="64" customHeight="1">
      <x:c r="A34" s="11" t="str">
        <x:v>B-030</x:v>
      </x:c>
      <x:c r="B34" s="11" t="str">
        <x:v>DC/DC功率电感</x:v>
      </x:c>
      <x:c r="C34" s="11" t="str">
        <x:v>6.8µH ≥5A 候选</x:v>
      </x:c>
      <x:c r="D34" s="11" t="str">
        <x:v>UNKNOWN_VERIFY</x:v>
      </x:c>
      <x:c r="E34" s="13" t="n">
        <x:v>2</x:v>
      </x:c>
      <x:c r="F34" s="14" t="n">
        <x:v>0.1</x:v>
      </x:c>
      <x:c r="G34" s="13" t="n">
        <x:f>ROUNDUP(E34*(1+F34),0)</x:f>
        <x:v>3</x:v>
      </x:c>
      <x:c r="H34" s="11" t="str">
        <x:v>DN_B030_001, DN_B030_002</x:v>
      </x:c>
      <x:c r="I34" s="11" t="str">
        <x:v>SMD; Pin1/EP原生库待核</x:v>
      </x:c>
      <x:c r="J34" s="11" t="str">
        <x:v>两路buck每板2颗</x:v>
      </x:c>
      <x:c r="K34" s="11" t="str">
        <x:v>UNKNOWN</x:v>
      </x:c>
      <x:c r="L34" s="11" t="str">
        <x:v>LOCAL12V / 5V / 3V3</x:v>
      </x:c>
      <x:c r="M34" s="11" t="str">
        <x:v>https://www.diodes.com/part/view/AP63203</x:v>
      </x:c>
      <x:c r="N34" s="11" t="str">
        <x:v>授权渠道待选；不默认替代</x:v>
      </x:c>
      <x:c r="O34" s="11" t="str">
        <x:v>UNKNOWN_VERIFY</x:v>
      </x:c>
      <x:c r="P34" s="11" t="str">
        <x:v>2026-10-11</x:v>
      </x:c>
      <x:c r="Q34" s="11" t="str">
        <x:v>INHERITED_CANDIDATE_REQUIRES_NATIVE_PIN_REVIEW</x:v>
      </x:c>
      <x:c r="R34" s="11" t="str">
        <x:v>User v5 scope; no procurement permission</x:v>
      </x:c>
      <x:c r="S34" s="11" t="str">
        <x:v>No central12V supply/converter or5V-to5V LDO headroom; central header budget HOLD</x:v>
      </x:c>
      <x:c r="T34" s="11" t="str">
        <x:v>UNKNOWN</x:v>
      </x:c>
      <x:c r="U34" s="11" t="str">
        <x:v>背面电子件 / 正面TX RX</x:v>
      </x:c>
      <x:c r="V34" s="11" t="str">
        <x:v>HOLD</x:v>
      </x:c>
    </x:row>
    <x:row r="35" ht="64" customHeight="1">
      <x:c r="A35" s="11" t="str">
        <x:v>B-031</x:v>
      </x:c>
      <x:c r="B35" s="11" t="str">
        <x:v>模拟电源磁珠</x:v>
      </x:c>
      <x:c r="C35" s="11" t="str">
        <x:v>BLM21PG221SN1D</x:v>
      </x:c>
      <x:c r="D35" s="11" t="str">
        <x:v>UNKNOWN_VERIFY</x:v>
      </x:c>
      <x:c r="E35" s="13" t="n">
        <x:v>1</x:v>
      </x:c>
      <x:c r="F35" s="14" t="n">
        <x:v>0.1</x:v>
      </x:c>
      <x:c r="G35" s="13" t="n">
        <x:f>ROUNDUP(E35*(1+F35),0)</x:f>
        <x:v>2</x:v>
      </x:c>
      <x:c r="H35" s="11" t="str">
        <x:v>DN_B031_001</x:v>
      </x:c>
      <x:c r="I35" s="11" t="str">
        <x:v>0805; Pin1/EP原生库待核</x:v>
      </x:c>
      <x:c r="J35" s="11" t="str">
        <x:v>220Ω@100MHz / 2A 标称候选</x:v>
      </x:c>
      <x:c r="K35" s="11" t="str">
        <x:v>UNKNOWN</x:v>
      </x:c>
      <x:c r="L35" s="11" t="str">
        <x:v>LOCAL12V / 5V / 3V3</x:v>
      </x:c>
      <x:c r="M35" s="11" t="str">
        <x:v>https://www.lcsc.com</x:v>
      </x:c>
      <x:c r="N35" s="11" t="str">
        <x:v>授权渠道待选；不默认替代</x:v>
      </x:c>
      <x:c r="O35" s="11" t="str">
        <x:v>UNKNOWN_VERIFY</x:v>
      </x:c>
      <x:c r="P35" s="11" t="str">
        <x:v>2026-10-11</x:v>
      </x:c>
      <x:c r="Q35" s="11" t="str">
        <x:v>INHERITED_CANDIDATE_REQUIRES_NATIVE_PIN_REVIEW</x:v>
      </x:c>
      <x:c r="R35" s="11" t="str">
        <x:v>User v5 scope; no procurement permission</x:v>
      </x:c>
      <x:c r="S35" s="11" t="str">
        <x:v>Inherited candidate quantity; netlist/thermal review pending</x:v>
      </x:c>
      <x:c r="T35" s="11" t="str">
        <x:v>UNKNOWN</x:v>
      </x:c>
      <x:c r="U35" s="11" t="str">
        <x:v>背面电子件 / 正面TX RX</x:v>
      </x:c>
      <x:c r="V35" s="11" t="str">
        <x:v>HOLD</x:v>
      </x:c>
    </x:row>
    <x:row r="36" ht="64" customHeight="1">
      <x:c r="A36" s="11" t="str">
        <x:v>B-032</x:v>
      </x:c>
      <x:c r="B36" s="11" t="str">
        <x:v>PCB板温监测</x:v>
      </x:c>
      <x:c r="C36" s="11" t="str">
        <x:v>TMP117AIDRVR</x:v>
      </x:c>
      <x:c r="D36" s="11" t="str">
        <x:v>Texas Instruments</x:v>
      </x:c>
      <x:c r="E36" s="13" t="n">
        <x:v>1</x:v>
      </x:c>
      <x:c r="F36" s="14" t="n">
        <x:v>0.1</x:v>
      </x:c>
      <x:c r="G36" s="13" t="n">
        <x:f>ROUNDUP(E36*(1+F36),0)</x:f>
        <x:v>2</x:v>
      </x:c>
      <x:c r="H36" s="11" t="str">
        <x:v>DN_B032_001</x:v>
      </x:c>
      <x:c r="I36" s="11" t="str">
        <x:v>WSON-6; Pin1/EP原生库待核</x:v>
      </x:c>
      <x:c r="J36" s="11" t="str">
        <x:v>监测驱动温度，不等于空气温湿度</x:v>
      </x:c>
      <x:c r="K36" s="11" t="str">
        <x:v>UNKNOWN</x:v>
      </x:c>
      <x:c r="L36" s="11" t="str">
        <x:v>LOCAL12V / 5V / 3V3</x:v>
      </x:c>
      <x:c r="M36" s="11" t="str">
        <x:v>https://www.ti.com/lit/ds/symlink/tmp117.pdf</x:v>
      </x:c>
      <x:c r="N36" s="11" t="str">
        <x:v>授权渠道待选；不默认替代</x:v>
      </x:c>
      <x:c r="O36" s="11" t="str">
        <x:v>Rev.D</x:v>
      </x:c>
      <x:c r="P36" s="11" t="str">
        <x:v>2026-10-11</x:v>
      </x:c>
      <x:c r="Q36" s="11" t="str">
        <x:v>DESIGN_SELECTED_PACKAGE_PIN_REVIEW_HOLD</x:v>
      </x:c>
      <x:c r="R36" s="11" t="str">
        <x:v>User v5 scope; no procurement permission</x:v>
      </x:c>
      <x:c r="S36" s="11" t="str">
        <x:v>3 sensors required; CENTER air representative away from heat; UP0x49/DOWN0x4b/CENTER0x48; read ID/readiness and bounded bus; no temperatureCRC</x:v>
      </x:c>
      <x:c r="T36" s="11" t="str">
        <x:v>UNKNOWN</x:v>
      </x:c>
      <x:c r="U36" s="11" t="str">
        <x:v>背面电子件 / 正面TX RX</x:v>
      </x:c>
      <x:c r="V36" s="11" t="str">
        <x:v>HOLD</x:v>
      </x:c>
    </x:row>
    <x:row r="37" ht="64" customHeight="1">
      <x:c r="A37" s="11" t="str">
        <x:v>B-033</x:v>
      </x:c>
      <x:c r="B37" s="11" t="str">
        <x:v>AX7020 J10/J11对接端子</x:v>
      </x:c>
      <x:c r="C37" s="11" t="str">
        <x:v>2×20 2.54mm 对应插座/转接线（按实板决定）</x:v>
      </x:c>
      <x:c r="D37" s="11" t="str">
        <x:v>UNKNOWN_VERIFY</x:v>
      </x:c>
      <x:c r="E37" s="13" t="n">
        <x:v>0</x:v>
      </x:c>
      <x:c r="F37" s="14" t="n">
        <x:v>0.1</x:v>
      </x:c>
      <x:c r="G37" s="13" t="n">
        <x:f>ROUNDUP(E37*(1+F37),0)</x:f>
        <x:v>0</x:v>
      </x:c>
      <x:c r="H37" s="11" t="str"/>
      <x:c r="I37" s="11" t="str">
        <x:v>THT/线束TBD; Pin1/EP原生库待核</x:v>
      </x:c>
      <x:c r="J37" s="11" t="str">
        <x:v>2套对应PL扩展口；针脚编号必须实测</x:v>
      </x:c>
      <x:c r="K37" s="11" t="str">
        <x:v>UNKNOWN</x:v>
      </x:c>
      <x:c r="L37" s="11" t="str">
        <x:v>LOCAL12V / 5V / 3V3</x:v>
      </x:c>
      <x:c r="M37" s="11" t="str">
        <x:v>https://www.alinx.com/public/upload/file/AX7020_UG.pdf</x:v>
      </x:c>
      <x:c r="N37" s="11" t="str">
        <x:v>授权渠道待选；不默认替代</x:v>
      </x:c>
      <x:c r="O37" s="11" t="str">
        <x:v>UNKNOWN_VERIFY</x:v>
      </x:c>
      <x:c r="P37" s="11" t="str">
        <x:v>2026-10-11</x:v>
      </x:c>
      <x:c r="Q37" s="11" t="str">
        <x:v>INHERITED_CANDIDATE_REQUIRES_NATIVE_PIN_REVIEW</x:v>
      </x:c>
      <x:c r="R37" s="11" t="str">
        <x:v>User v5 scope; no procurement permission</x:v>
      </x:c>
      <x:c r="S37" s="11" t="str">
        <x:v>Inherited candidate quantity; netlist/thermal review pending</x:v>
      </x:c>
      <x:c r="T37" s="11" t="str">
        <x:v>UNKNOWN</x:v>
      </x:c>
      <x:c r="U37" s="11" t="str">
        <x:v>背面电子件 / 正面TX RX</x:v>
      </x:c>
      <x:c r="V37" s="11" t="str">
        <x:v>HOLD</x:v>
      </x:c>
    </x:row>
    <x:row r="38" ht="64" customHeight="1">
      <x:c r="A38" s="11" t="str">
        <x:v>B-034</x:v>
      </x:c>
      <x:c r="B38" s="11" t="str">
        <x:v>50芯独立数据接头</x:v>
      </x:c>
      <x:c r="C38" s="11" t="str">
        <x:v>2×25 IDC防呆（候选）</x:v>
      </x:c>
      <x:c r="D38" s="11" t="str">
        <x:v>UNKNOWN_VERIFY</x:v>
      </x:c>
      <x:c r="E38" s="13" t="n">
        <x:v>1</x:v>
      </x:c>
      <x:c r="F38" s="14" t="n">
        <x:v>0.1</x:v>
      </x:c>
      <x:c r="G38" s="13" t="n">
        <x:f>ROUNDUP(E38*(1+F38),0)</x:f>
        <x:v>2</x:v>
      </x:c>
      <x:c r="H38" s="11" t="str">
        <x:v>DN_B034_001</x:v>
      </x:c>
      <x:c r="I38" s="11" t="str">
        <x:v>THT; Pin1/EP原生库待核</x:v>
      </x:c>
      <x:c r="J38" s="11" t="str">
        <x:v>每板1个，高速数据+GND相邻，不能当成最终可用66MHz</x:v>
      </x:c>
      <x:c r="K38" s="11" t="str">
        <x:v>UNKNOWN</x:v>
      </x:c>
      <x:c r="L38" s="11" t="str">
        <x:v>LOCAL12V / 5V / 3V3</x:v>
      </x:c>
      <x:c r="M38" s="11" t="str">
        <x:v>https://www.lcsc.com/custom-cable-assembly</x:v>
      </x:c>
      <x:c r="N38" s="11" t="str">
        <x:v>授权渠道待选；不默认替代</x:v>
      </x:c>
      <x:c r="O38" s="11" t="str">
        <x:v>UNKNOWN_VERIFY</x:v>
      </x:c>
      <x:c r="P38" s="11" t="str">
        <x:v>2026-10-11</x:v>
      </x:c>
      <x:c r="Q38" s="11" t="str">
        <x:v>INHERITED_CANDIDATE_REQUIRES_NATIVE_PIN_REVIEW</x:v>
      </x:c>
      <x:c r="R38" s="11" t="str">
        <x:v>User v5 scope; no procurement permission</x:v>
      </x:c>
      <x:c r="S38" s="11" t="str">
        <x:v>Inherited candidate quantity; netlist/thermal review pending</x:v>
      </x:c>
      <x:c r="T38" s="11" t="str">
        <x:v>UNKNOWN</x:v>
      </x:c>
      <x:c r="U38" s="11" t="str">
        <x:v>背面电子件 / 正面TX RX</x:v>
      </x:c>
      <x:c r="V38" s="11" t="str">
        <x:v>HOLD</x:v>
      </x:c>
    </x:row>
    <x:row r="39" ht="64" customHeight="1">
      <x:c r="A39" s="11" t="str">
        <x:v>B-035</x:v>
      </x:c>
      <x:c r="B39" s="11" t="str">
        <x:v>数字数据扇出接口</x:v>
      </x:c>
      <x:c r="C39" s="11" t="str">
        <x:v>2×25 IDC防呆（候选）</x:v>
      </x:c>
      <x:c r="D39" s="11" t="str">
        <x:v>UNKNOWN_VERIFY</x:v>
      </x:c>
      <x:c r="E39" s="13" t="n">
        <x:v>0</x:v>
      </x:c>
      <x:c r="F39" s="14" t="n">
        <x:v>0.1</x:v>
      </x:c>
      <x:c r="G39" s="13" t="n">
        <x:f>ROUNDUP(E39*(1+F39),0)</x:f>
        <x:v>0</x:v>
      </x:c>
      <x:c r="H39" s="11" t="str"/>
      <x:c r="I39" s="11" t="str">
        <x:v>THT; Pin1/EP原生库待核</x:v>
      </x:c>
      <x:c r="J39" s="11" t="str">
        <x:v>上下各一个，配合Array接口</x:v>
      </x:c>
      <x:c r="K39" s="11" t="str">
        <x:v>UNKNOWN</x:v>
      </x:c>
      <x:c r="L39" s="11" t="str">
        <x:v>LOCAL12V / 5V / 3V3</x:v>
      </x:c>
      <x:c r="M39" s="11" t="str">
        <x:v>https://www.lcsc.com/custom-cable-assembly</x:v>
      </x:c>
      <x:c r="N39" s="11" t="str">
        <x:v>授权渠道待选；不默认替代</x:v>
      </x:c>
      <x:c r="O39" s="11" t="str">
        <x:v>UNKNOWN_VERIFY</x:v>
      </x:c>
      <x:c r="P39" s="11" t="str">
        <x:v>2026-10-11</x:v>
      </x:c>
      <x:c r="Q39" s="11" t="str">
        <x:v>INHERITED_CANDIDATE_REQUIRES_NATIVE_PIN_REVIEW</x:v>
      </x:c>
      <x:c r="R39" s="11" t="str">
        <x:v>User v5 scope; no procurement permission</x:v>
      </x:c>
      <x:c r="S39" s="11" t="str">
        <x:v>Inherited candidate quantity; netlist/thermal review pending</x:v>
      </x:c>
      <x:c r="T39" s="11" t="str">
        <x:v>UNKNOWN</x:v>
      </x:c>
      <x:c r="U39" s="11" t="str">
        <x:v>背面电子件 / 正面TX RX</x:v>
      </x:c>
      <x:c r="V39" s="11" t="str">
        <x:v>HOLD</x:v>
      </x:c>
    </x:row>
    <x:row r="40" ht="64" customHeight="1">
      <x:c r="A40" s="11" t="str">
        <x:v>B-036</x:v>
      </x:c>
      <x:c r="B40" s="11" t="str">
        <x:v>8芯4对模拟RX接口</x:v>
      </x:c>
      <x:c r="C40" s="11" t="str">
        <x:v>不带变压器的被动8P8C/屏蔽连接器</x:v>
      </x:c>
      <x:c r="D40" s="11" t="str">
        <x:v>UNKNOWN_VERIFY</x:v>
      </x:c>
      <x:c r="E40" s="13" t="n">
        <x:v>1</x:v>
      </x:c>
      <x:c r="F40" s="14" t="n">
        <x:v>0.1</x:v>
      </x:c>
      <x:c r="G40" s="13" t="n">
        <x:f>ROUNDUP(E40*(1+F40),0)</x:f>
        <x:v>2</x:v>
      </x:c>
      <x:c r="H40" s="11" t="str">
        <x:v>DN_B036_001</x:v>
      </x:c>
      <x:c r="I40" s="11" t="str">
        <x:v>THT; Pin1/EP原生库待核</x:v>
      </x:c>
      <x:c r="J40" s="11" t="str">
        <x:v>上/下阵列各1个，中央2个，明确标非以太网</x:v>
      </x:c>
      <x:c r="K40" s="11" t="str">
        <x:v>UNKNOWN</x:v>
      </x:c>
      <x:c r="L40" s="11" t="str">
        <x:v>LOCAL12V / 5V / 3V3</x:v>
      </x:c>
      <x:c r="M40" s="11" t="str">
        <x:v>https://www.lcsc.com</x:v>
      </x:c>
      <x:c r="N40" s="11" t="str">
        <x:v>授权渠道待选；不默认替代</x:v>
      </x:c>
      <x:c r="O40" s="11" t="str">
        <x:v>UNKNOWN_VERIFY</x:v>
      </x:c>
      <x:c r="P40" s="11" t="str">
        <x:v>2026-10-11</x:v>
      </x:c>
      <x:c r="Q40" s="11" t="str">
        <x:v>INHERITED_CANDIDATE_REQUIRES_NATIVE_PIN_REVIEW</x:v>
      </x:c>
      <x:c r="R40" s="11" t="str">
        <x:v>User v5 scope; no procurement permission</x:v>
      </x:c>
      <x:c r="S40" s="11" t="str">
        <x:v>Inherited candidate quantity; netlist/thermal review pending</x:v>
      </x:c>
      <x:c r="T40" s="11" t="str">
        <x:v>UNKNOWN</x:v>
      </x:c>
      <x:c r="U40" s="11" t="str">
        <x:v>背面电子件 / 正面TX RX</x:v>
      </x:c>
      <x:c r="V40" s="11" t="str">
        <x:v>HOLD</x:v>
      </x:c>
    </x:row>
    <x:row r="41" ht="64" customHeight="1">
      <x:c r="A41" s="11" t="str">
        <x:v>B-037</x:v>
      </x:c>
      <x:c r="B41" s="11" t="str">
        <x:v>远端I2C环境传感器插座</x:v>
      </x:c>
      <x:c r="C41" s="11" t="str">
        <x:v>JST XH 4P</x:v>
      </x:c>
      <x:c r="D41" s="11" t="str">
        <x:v>UNKNOWN_VERIFY</x:v>
      </x:c>
      <x:c r="E41" s="13" t="n">
        <x:v>0</x:v>
      </x:c>
      <x:c r="F41" s="14" t="n">
        <x:v>0.1</x:v>
      </x:c>
      <x:c r="G41" s="13" t="n">
        <x:f>ROUNDUP(E41*(1+F41),0)</x:f>
        <x:v>0</x:v>
      </x:c>
      <x:c r="H41" s="11" t="str"/>
      <x:c r="I41" s="11" t="str">
        <x:v>THT; Pin1/EP原生库待核</x:v>
      </x:c>
      <x:c r="J41" s="11" t="str">
        <x:v>3.3V/GND/SDA/SCL；电源来自中央辅助电源</x:v>
      </x:c>
      <x:c r="K41" s="11" t="str">
        <x:v>UNKNOWN</x:v>
      </x:c>
      <x:c r="L41" s="11" t="str">
        <x:v>LOCAL12V / 5V / 3V3</x:v>
      </x:c>
      <x:c r="M41" s="11" t="str">
        <x:v>https://www.lcsc.com</x:v>
      </x:c>
      <x:c r="N41" s="11" t="str">
        <x:v>授权渠道待选；不默认替代</x:v>
      </x:c>
      <x:c r="O41" s="11" t="str">
        <x:v>UNKNOWN_VERIFY</x:v>
      </x:c>
      <x:c r="P41" s="11" t="str">
        <x:v>2026-10-11</x:v>
      </x:c>
      <x:c r="Q41" s="11" t="str">
        <x:v>INHERITED_CANDIDATE_REQUIRES_NATIVE_PIN_REVIEW</x:v>
      </x:c>
      <x:c r="R41" s="11" t="str">
        <x:v>User v5 scope; no procurement permission</x:v>
      </x:c>
      <x:c r="S41" s="11" t="str">
        <x:v>Inherited candidate quantity; netlist/thermal review pending</x:v>
      </x:c>
      <x:c r="T41" s="11" t="str">
        <x:v>UNKNOWN</x:v>
      </x:c>
      <x:c r="U41" s="11" t="str">
        <x:v>背面电子件 / 正面TX RX</x:v>
      </x:c>
      <x:c r="V41" s="11" t="str">
        <x:v>HOLD</x:v>
      </x:c>
    </x:row>
    <x:row r="42" ht="64" customHeight="1">
      <x:c r="A42" s="11" t="str">
        <x:v>B-038</x:v>
      </x:c>
      <x:c r="B42" s="11" t="str">
        <x:v>远端I2C接口</x:v>
      </x:c>
      <x:c r="C42" s="11" t="str">
        <x:v>JST XH 4P</x:v>
      </x:c>
      <x:c r="D42" s="11" t="str">
        <x:v>UNKNOWN_VERIFY</x:v>
      </x:c>
      <x:c r="E42" s="13" t="n">
        <x:v>0</x:v>
      </x:c>
      <x:c r="F42" s="14" t="n">
        <x:v>0.1</x:v>
      </x:c>
      <x:c r="G42" s="13" t="n">
        <x:f>ROUNDUP(E42*(1+F42),0)</x:f>
        <x:v>0</x:v>
      </x:c>
      <x:c r="H42" s="11" t="str"/>
      <x:c r="I42" s="11" t="str">
        <x:v>THT; Pin1/EP原生库待核</x:v>
      </x:c>
      <x:c r="J42" s="11" t="str">
        <x:v>XH 4pin端子</x:v>
      </x:c>
      <x:c r="K42" s="11" t="str">
        <x:v>UNKNOWN</x:v>
      </x:c>
      <x:c r="L42" s="11" t="str">
        <x:v>LOCAL12V / 5V / 3V3</x:v>
      </x:c>
      <x:c r="M42" s="11" t="str">
        <x:v>https://www.lcsc.com</x:v>
      </x:c>
      <x:c r="N42" s="11" t="str">
        <x:v>授权渠道待选；不默认替代</x:v>
      </x:c>
      <x:c r="O42" s="11" t="str">
        <x:v>UNKNOWN_VERIFY</x:v>
      </x:c>
      <x:c r="P42" s="11" t="str">
        <x:v>2026-10-11</x:v>
      </x:c>
      <x:c r="Q42" s="11" t="str">
        <x:v>INHERITED_CANDIDATE_REQUIRES_NATIVE_PIN_REVIEW</x:v>
      </x:c>
      <x:c r="R42" s="11" t="str">
        <x:v>User v5 scope; no procurement permission</x:v>
      </x:c>
      <x:c r="S42" s="11" t="str">
        <x:v>Inherited candidate quantity; netlist/thermal review pending</x:v>
      </x:c>
      <x:c r="T42" s="11" t="str">
        <x:v>UNKNOWN</x:v>
      </x:c>
      <x:c r="U42" s="11" t="str">
        <x:v>背面电子件 / 正面TX RX</x:v>
      </x:c>
      <x:c r="V42" s="11" t="str">
        <x:v>HOLD</x:v>
      </x:c>
    </x:row>
    <x:row r="43" ht="64" customHeight="1">
      <x:c r="A43" s="11" t="str">
        <x:v>B-039</x:v>
      </x:c>
      <x:c r="B43" s="11" t="str">
        <x:v>上下独立电源线束</x:v>
      </x:c>
      <x:c r="C43" s="11" t="str">
        <x:v>DC5P5x2P5_CENTER_POSITIVE_LEAD_TBD</x:v>
      </x:c>
      <x:c r="D43" s="11" t="str">
        <x:v>UNKNOWN_VERIFY</x:v>
      </x:c>
      <x:c r="E43" s="13" t="n">
        <x:v>0</x:v>
      </x:c>
      <x:c r="F43" s="14" t="n">
        <x:v>0.1</x:v>
      </x:c>
      <x:c r="G43" s="13" t="n">
        <x:f>ROUNDUP(E43*(1+F43),0)</x:f>
        <x:v>0</x:v>
      </x:c>
      <x:c r="H43" s="11" t="str"/>
      <x:c r="I43" s="11" t="str">
        <x:v>外置; Pin1/EP原生库待核</x:v>
      </x:c>
      <x:c r="J43" s="11" t="str">
        <x:v>各板单独从外置供电装置接线</x:v>
      </x:c>
      <x:c r="K43" s="11" t="str">
        <x:v>UNKNOWN</x:v>
      </x:c>
      <x:c r="L43" s="11" t="str">
        <x:v>LOCAL12V / 5V / 3V3</x:v>
      </x:c>
      <x:c r="M43" s="11" t="str">
        <x:v>https://www.lcsc.com/custom-cable-assembly</x:v>
      </x:c>
      <x:c r="N43" s="11" t="str">
        <x:v>授权渠道待选；不默认替代</x:v>
      </x:c>
      <x:c r="O43" s="11" t="str">
        <x:v>UNKNOWN_VERIFY</x:v>
      </x:c>
      <x:c r="P43" s="11" t="str">
        <x:v>2026-10-11</x:v>
      </x:c>
      <x:c r="Q43" s="11" t="str">
        <x:v>INHERITED_CANDIDATE_REQUIRES_NATIVE_PIN_REVIEW</x:v>
      </x:c>
      <x:c r="R43" s="11" t="str">
        <x:v>User v5 scope; no procurement permission</x:v>
      </x:c>
      <x:c r="S43" s="11" t="str">
        <x:v>5A nominal path; wire/fuse/plug length/temperature verification HOLD</x:v>
      </x:c>
      <x:c r="T43" s="11" t="str">
        <x:v>UNKNOWN</x:v>
      </x:c>
      <x:c r="U43" s="11" t="str">
        <x:v>背面电子件 / 正面TX RX</x:v>
      </x:c>
      <x:c r="V43" s="11" t="str">
        <x:v>HOLD</x:v>
      </x:c>
    </x:row>
    <x:row r="44" ht="64" customHeight="1">
      <x:c r="A44" s="11" t="str">
        <x:v>B-040</x:v>
      </x:c>
      <x:c r="B44" s="11" t="str">
        <x:v>中央辅助电源线束</x:v>
      </x:c>
      <x:c r="C44" s="11" t="str">
        <x:v>XT30 2P线束</x:v>
      </x:c>
      <x:c r="D44" s="11" t="str">
        <x:v>UNKNOWN_VERIFY</x:v>
      </x:c>
      <x:c r="E44" s="13" t="n">
        <x:v>0</x:v>
      </x:c>
      <x:c r="F44" s="14" t="n">
        <x:v>0.1</x:v>
      </x:c>
      <x:c r="G44" s="13" t="n">
        <x:f>ROUNDUP(E44*(1+F44),0)</x:f>
        <x:v>0</x:v>
      </x:c>
      <x:c r="H44" s="11" t="str"/>
      <x:c r="I44" s="11" t="str">
        <x:v>外置; Pin1/EP原生库待核</x:v>
      </x:c>
      <x:c r="J44" s="11" t="str">
        <x:v>独立于两阵列的ADC/逻辑输入</x:v>
      </x:c>
      <x:c r="K44" s="11" t="str">
        <x:v>UNKNOWN</x:v>
      </x:c>
      <x:c r="L44" s="11" t="str">
        <x:v>LOCAL12V / 5V / 3V3</x:v>
      </x:c>
      <x:c r="M44" s="11" t="str">
        <x:v>https://www.lcsc.com/custom-cable-assembly</x:v>
      </x:c>
      <x:c r="N44" s="11" t="str">
        <x:v>授权渠道待选；不默认替代</x:v>
      </x:c>
      <x:c r="O44" s="11" t="str">
        <x:v>UNKNOWN_VERIFY</x:v>
      </x:c>
      <x:c r="P44" s="11" t="str">
        <x:v>2026-10-11</x:v>
      </x:c>
      <x:c r="Q44" s="11" t="str">
        <x:v>INHERITED_CANDIDATE_REQUIRES_NATIVE_PIN_REVIEW</x:v>
      </x:c>
      <x:c r="R44" s="11" t="str">
        <x:v>User v5 scope; no procurement permission</x:v>
      </x:c>
      <x:c r="S44" s="11" t="str">
        <x:v>Removed central external power path; central AX7020-only source</x:v>
      </x:c>
      <x:c r="T44" s="11" t="str">
        <x:v>UNKNOWN</x:v>
      </x:c>
      <x:c r="U44" s="11" t="str">
        <x:v>背面电子件 / 正面TX RX</x:v>
      </x:c>
      <x:c r="V44" s="11" t="str">
        <x:v>HOLD</x:v>
      </x:c>
    </x:row>
    <x:row r="45" ht="64" customHeight="1">
      <x:c r="A45" s="11" t="str">
        <x:v>B-041</x:v>
      </x:c>
      <x:c r="B45" s="11" t="str">
        <x:v>上/下数字线束</x:v>
      </x:c>
      <x:c r="C45" s="11" t="str">
        <x:v>50芯IDC定长≤20cm仅初选</x:v>
      </x:c>
      <x:c r="D45" s="11" t="str">
        <x:v>UNKNOWN_VERIFY</x:v>
      </x:c>
      <x:c r="E45" s="13" t="n">
        <x:v>0</x:v>
      </x:c>
      <x:c r="F45" s="14" t="n">
        <x:v>0.1</x:v>
      </x:c>
      <x:c r="G45" s="13" t="n">
        <x:f>ROUNDUP(E45*(1+F45),0)</x:f>
        <x:v>0</x:v>
      </x:c>
      <x:c r="H45" s="11" t="str"/>
      <x:c r="I45" s="11" t="str">
        <x:v>线束; Pin1/EP原生库待核</x:v>
      </x:c>
      <x:c r="J45" s="11" t="str">
        <x:v>每阵列1条；需屏蔽/回流/时序验证</x:v>
      </x:c>
      <x:c r="K45" s="11" t="str">
        <x:v>UNKNOWN</x:v>
      </x:c>
      <x:c r="L45" s="11" t="str">
        <x:v>LOCAL12V / 5V / 3V3</x:v>
      </x:c>
      <x:c r="M45" s="11" t="str">
        <x:v>https://www.lcsc.com/custom-cable-assembly</x:v>
      </x:c>
      <x:c r="N45" s="11" t="str">
        <x:v>授权渠道待选；不默认替代</x:v>
      </x:c>
      <x:c r="O45" s="11" t="str">
        <x:v>UNKNOWN_VERIFY</x:v>
      </x:c>
      <x:c r="P45" s="11" t="str">
        <x:v>2026-10-11</x:v>
      </x:c>
      <x:c r="Q45" s="11" t="str">
        <x:v>INHERITED_CANDIDATE_REQUIRES_NATIVE_PIN_REVIEW</x:v>
      </x:c>
      <x:c r="R45" s="11" t="str">
        <x:v>User v5 scope; no procurement permission</x:v>
      </x:c>
      <x:c r="S45" s="11" t="str">
        <x:v>SUPERSEDED_OR_OPTIONAL_DNP: see new H entries; not installed twice</x:v>
      </x:c>
      <x:c r="T45" s="11" t="str">
        <x:v>UNKNOWN</x:v>
      </x:c>
      <x:c r="U45" s="11" t="str">
        <x:v>背面电子件 / 正面TX RX</x:v>
      </x:c>
      <x:c r="V45" s="11" t="str">
        <x:v>HOLD</x:v>
      </x:c>
    </x:row>
    <x:row r="46" ht="64" customHeight="1">
      <x:c r="A46" s="11" t="str">
        <x:v>B-042</x:v>
      </x:c>
      <x:c r="B46" s="11" t="str">
        <x:v>上/下RX信号线束</x:v>
      </x:c>
      <x:c r="C46" s="11" t="str">
        <x:v>屏蔽4对模拟线（独立专用）</x:v>
      </x:c>
      <x:c r="D46" s="11" t="str">
        <x:v>UNKNOWN_VERIFY</x:v>
      </x:c>
      <x:c r="E46" s="13" t="n">
        <x:v>0</x:v>
      </x:c>
      <x:c r="F46" s="14" t="n">
        <x:v>0.1</x:v>
      </x:c>
      <x:c r="G46" s="13" t="n">
        <x:f>ROUNDUP(E46*(1+F46),0)</x:f>
        <x:v>0</x:v>
      </x:c>
      <x:c r="H46" s="11" t="str"/>
      <x:c r="I46" s="11" t="str">
        <x:v>线束; Pin1/EP原生库待核</x:v>
      </x:c>
      <x:c r="J46" s="11" t="str">
        <x:v>每阵列1条；建议远离TX与功率</x:v>
      </x:c>
      <x:c r="K46" s="11" t="str">
        <x:v>UNKNOWN</x:v>
      </x:c>
      <x:c r="L46" s="11" t="str">
        <x:v>LOCAL12V / 5V / 3V3</x:v>
      </x:c>
      <x:c r="M46" s="11" t="str">
        <x:v>https://www.lcsc.com/custom-cable-assembly</x:v>
      </x:c>
      <x:c r="N46" s="11" t="str">
        <x:v>授权渠道待选；不默认替代</x:v>
      </x:c>
      <x:c r="O46" s="11" t="str">
        <x:v>UNKNOWN_VERIFY</x:v>
      </x:c>
      <x:c r="P46" s="11" t="str">
        <x:v>2026-10-11</x:v>
      </x:c>
      <x:c r="Q46" s="11" t="str">
        <x:v>INHERITED_CANDIDATE_REQUIRES_NATIVE_PIN_REVIEW</x:v>
      </x:c>
      <x:c r="R46" s="11" t="str">
        <x:v>User v5 scope; no procurement permission</x:v>
      </x:c>
      <x:c r="S46" s="11" t="str">
        <x:v>SUPERSEDED_OR_OPTIONAL_DNP: see new H entries; not installed twice</x:v>
      </x:c>
      <x:c r="T46" s="11" t="str">
        <x:v>UNKNOWN</x:v>
      </x:c>
      <x:c r="U46" s="11" t="str">
        <x:v>背面电子件 / 正面TX RX</x:v>
      </x:c>
      <x:c r="V46" s="11" t="str">
        <x:v>HOLD</x:v>
      </x:c>
    </x:row>
    <x:row r="47" ht="64" customHeight="1">
      <x:c r="A47" s="11" t="str">
        <x:v>B-043</x:v>
      </x:c>
      <x:c r="B47" s="11" t="str">
        <x:v>AX7020到中央适配线束</x:v>
      </x:c>
      <x:c r="C47" s="11" t="str">
        <x:v>J10/J11对应双40针连接（实板决定）</x:v>
      </x:c>
      <x:c r="D47" s="11" t="str">
        <x:v>UNKNOWN_VERIFY</x:v>
      </x:c>
      <x:c r="E47" s="13" t="n">
        <x:v>0</x:v>
      </x:c>
      <x:c r="F47" s="14" t="n">
        <x:v>0.1</x:v>
      </x:c>
      <x:c r="G47" s="13" t="n">
        <x:f>ROUNDUP(E47*(1+F47),0)</x:f>
        <x:v>0</x:v>
      </x:c>
      <x:c r="H47" s="11" t="str"/>
      <x:c r="I47" s="11" t="str">
        <x:v>线束; Pin1/EP原生库待核</x:v>
      </x:c>
      <x:c r="J47" s="11" t="str">
        <x:v>连通PS/PL，无功率路径</x:v>
      </x:c>
      <x:c r="K47" s="11" t="str">
        <x:v>UNKNOWN</x:v>
      </x:c>
      <x:c r="L47" s="11" t="str">
        <x:v>LOCAL12V / 5V / 3V3</x:v>
      </x:c>
      <x:c r="M47" s="11" t="str">
        <x:v>https://www.alinx.com/public/upload/file/AX7020_UG.pdf</x:v>
      </x:c>
      <x:c r="N47" s="11" t="str">
        <x:v>授权渠道待选；不默认替代</x:v>
      </x:c>
      <x:c r="O47" s="11" t="str">
        <x:v>UNKNOWN_VERIFY</x:v>
      </x:c>
      <x:c r="P47" s="11" t="str">
        <x:v>2026-10-11</x:v>
      </x:c>
      <x:c r="Q47" s="11" t="str">
        <x:v>INHERITED_CANDIDATE_REQUIRES_NATIVE_PIN_REVIEW</x:v>
      </x:c>
      <x:c r="R47" s="11" t="str">
        <x:v>User v5 scope; no procurement permission</x:v>
      </x:c>
      <x:c r="S47" s="11" t="str">
        <x:v>Inherited candidate quantity; netlist/thermal review pending</x:v>
      </x:c>
      <x:c r="T47" s="11" t="str">
        <x:v>UNKNOWN</x:v>
      </x:c>
      <x:c r="U47" s="11" t="str">
        <x:v>背面电子件 / 正面TX RX</x:v>
      </x:c>
      <x:c r="V47" s="11" t="str">
        <x:v>HOLD</x:v>
      </x:c>
    </x:row>
    <x:row r="48" ht="64" customHeight="1">
      <x:c r="A48" s="11" t="str">
        <x:v>B-044</x:v>
      </x:c>
      <x:c r="B48" s="11" t="str">
        <x:v>双路限流可调直流电源</x:v>
      </x:c>
      <x:c r="C48" s="11" t="str">
        <x:v>12V 5A supply candidate (each)</x:v>
      </x:c>
      <x:c r="D48" s="11" t="str">
        <x:v>UNKNOWN_VERIFY</x:v>
      </x:c>
      <x:c r="E48" s="13" t="n">
        <x:v>0</x:v>
      </x:c>
      <x:c r="F48" s="14" t="n">
        <x:v>0.1</x:v>
      </x:c>
      <x:c r="G48" s="13" t="n">
        <x:f>ROUNDUP(E48*(1+F48),0)</x:f>
        <x:v>0</x:v>
      </x:c>
      <x:c r="H48" s="11" t="str"/>
      <x:c r="I48" s="11" t="str">
        <x:v>设备; Pin1/EP原生库待核</x:v>
      </x:c>
      <x:c r="J48" s="11" t="str">
        <x:v>两个阵列独立可断电、可调限流</x:v>
      </x:c>
      <x:c r="K48" s="11" t="str">
        <x:v>UNKNOWN</x:v>
      </x:c>
      <x:c r="L48" s="11" t="str">
        <x:v>LOCAL12V / 5V / 3V3</x:v>
      </x:c>
      <x:c r="M48" s="11" t="str">
        <x:v>https://www.meanwell.com/webapp/product/search.aspx?prod=GST120A</x:v>
      </x:c>
      <x:c r="N48" s="11" t="str">
        <x:v>授权渠道待选；不默认替代</x:v>
      </x:c>
      <x:c r="O48" s="11" t="str">
        <x:v>UNKNOWN_VERIFY</x:v>
      </x:c>
      <x:c r="P48" s="11" t="str">
        <x:v>2026-10-11</x:v>
      </x:c>
      <x:c r="Q48" s="11" t="str">
        <x:v>INHERITED_CANDIDATE_REQUIRES_NATIVE_PIN_REVIEW</x:v>
      </x:c>
      <x:c r="R48" s="11" t="str">
        <x:v>User v5 scope; no procurement permission</x:v>
      </x:c>
      <x:c r="S48" s="11" t="str">
        <x:v>SUPERSEDED_OR_OPTIONAL_DNP: see new H entries; not installed twice</x:v>
      </x:c>
      <x:c r="T48" s="11" t="str">
        <x:v>UNKNOWN</x:v>
      </x:c>
      <x:c r="U48" s="11" t="str">
        <x:v>背面电子件 / 正面TX RX</x:v>
      </x:c>
      <x:c r="V48" s="11" t="str">
        <x:v>HOLD</x:v>
      </x:c>
    </x:row>
    <x:row r="49" ht="64" customHeight="1">
      <x:c r="A49" s="11" t="str">
        <x:v>B-045</x:v>
      </x:c>
      <x:c r="B49" s="11" t="str">
        <x:v>AX7020官方匹配电源适配器</x:v>
      </x:c>
      <x:c r="C49" s="11" t="str">
        <x:v>ALINX规定DC 5V配件</x:v>
      </x:c>
      <x:c r="D49" s="11" t="str">
        <x:v>UNKNOWN_VERIFY</x:v>
      </x:c>
      <x:c r="E49" s="13" t="n">
        <x:v>0</x:v>
      </x:c>
      <x:c r="F49" s="14" t="n">
        <x:v>0.1</x:v>
      </x:c>
      <x:c r="G49" s="13" t="n">
        <x:f>ROUNDUP(E49*(1+F49),0)</x:f>
        <x:v>0</x:v>
      </x:c>
      <x:c r="H49" s="11" t="str"/>
      <x:c r="I49" s="11" t="str">
        <x:v>设备; Pin1/EP原生库待核</x:v>
      </x:c>
      <x:c r="J49" s="11" t="str">
        <x:v>主控保持其原厂供电，外部阵列不占板载供电</x:v>
      </x:c>
      <x:c r="K49" s="11" t="str">
        <x:v>UNKNOWN</x:v>
      </x:c>
      <x:c r="L49" s="11" t="str">
        <x:v>LOCAL12V / 5V / 3V3</x:v>
      </x:c>
      <x:c r="M49" s="11" t="str">
        <x:v>https://www.alinx.com/public/upload/file/AX7020_UG.pdf</x:v>
      </x:c>
      <x:c r="N49" s="11" t="str">
        <x:v>授权渠道待选；不默认替代</x:v>
      </x:c>
      <x:c r="O49" s="11" t="str">
        <x:v>UNKNOWN_VERIFY</x:v>
      </x:c>
      <x:c r="P49" s="11" t="str">
        <x:v>2026-10-11</x:v>
      </x:c>
      <x:c r="Q49" s="11" t="str">
        <x:v>INHERITED_CANDIDATE_REQUIRES_NATIVE_PIN_REVIEW</x:v>
      </x:c>
      <x:c r="R49" s="11" t="str">
        <x:v>User v5 scope; no procurement permission</x:v>
      </x:c>
      <x:c r="S49" s="11" t="str">
        <x:v>Inherited candidate quantity; netlist/thermal review pending</x:v>
      </x:c>
      <x:c r="T49" s="11" t="str">
        <x:v>UNKNOWN</x:v>
      </x:c>
      <x:c r="U49" s="11" t="str">
        <x:v>背面电子件 / 正面TX RX</x:v>
      </x:c>
      <x:c r="V49" s="11" t="str">
        <x:v>HOLD</x:v>
      </x:c>
    </x:row>
    <x:row r="50" ht="240" customHeight="1">
      <x:c r="A50" s="11" t="str">
        <x:v>B-046</x:v>
      </x:c>
      <x:c r="B50" s="11" t="str">
        <x:v>100nF去耦电容</x:v>
      </x:c>
      <x:c r="C50" s="11" t="str">
        <x:v>100nF 50V X7R</x:v>
      </x:c>
      <x:c r="D50" s="11" t="str">
        <x:v>UNKNOWN_VERIFY</x:v>
      </x:c>
      <x:c r="E50" s="13" t="n">
        <x:v>71</x:v>
      </x:c>
      <x:c r="F50" s="14" t="n">
        <x:v>0.1</x:v>
      </x:c>
      <x:c r="G50" s="13" t="n">
        <x:f>ROUNDUP(E50*(1+F50),0)</x:f>
        <x:v>79</x:v>
      </x:c>
      <x:c r="H50" s="11" t="str">
        <x:v>DN_B046_001, DN_B046_002, DN_B046_003, DN_B046_004, DN_B046_005, DN_B046_006, DN_B046_007, DN_B046_008, DN_B046_009, DN_B046_010, DN_B046_011, DN_B046_012, DN_B046_013, DN_B046_014, DN_B046_015, DN_B046_016, DN_B046_017, DN_B046_018, DN_B046_019, DN_B046_020, DN_B046_021, DN_B046_022, DN_B046_023, DN_B046_024, DN_B046_025, DN_B046_026, DN_B046_027, DN_B046_028, DN_B046_029, DN_B046_030, DN_B046_031, DN_B046_032, DN_B046_033, DN_B046_034, DN_B046_035, DN_B046_036, DN_B046_037, DN_B046_038, DN_B046_039, DN_B046_040, DN_B046_041, DN_B046_042, DN_B046_043, DN_B046_044, DN_B046_045, DN_B046_046, DN_B046_047, DN_B046_048, DN_B046_049, DN_B046_050, DN_B046_051, DN_B046_052, DN_B046_053, DN_B046_054, DN_B046_055, DN_B046_056, DN_B046_057, DN_B046_058, DN_B046_059, DN_B046_060, DN_B046_061, DN_B046_062, DN_B046_063, DN_B046_064, DN_B046_065, DN_B046_066, DN_B046_067, DN_B046_068, DN_B046_069, DN_B046_070, DN_B046_071</x:v>
      </x:c>
      <x:c r="I50" s="11" t="str">
        <x:v>0603; Pin1/EP原生库待核</x:v>
      </x:c>
      <x:c r="J50" s="11" t="str">
        <x:v>按原v5零件计数移植；新布板新增保护网路另计</x:v>
      </x:c>
      <x:c r="K50" s="11" t="str">
        <x:v>UNKNOWN</x:v>
      </x:c>
      <x:c r="L50" s="11" t="str">
        <x:v>LOCAL12V / 5V / 3V3</x:v>
      </x:c>
      <x:c r="M50" s="11" t="str">
        <x:v>https://github.com/loverlike1216/SonoField-FPGA/blob/main/v5/hardware/bom/BOM_MASTER.csv</x:v>
      </x:c>
      <x:c r="N50" s="11" t="str">
        <x:v>授权渠道待选；不默认替代</x:v>
      </x:c>
      <x:c r="O50" s="11" t="str">
        <x:v>UNKNOWN_VERIFY</x:v>
      </x:c>
      <x:c r="P50" s="11" t="str">
        <x:v>2026-10-11</x:v>
      </x:c>
      <x:c r="Q50" s="11" t="str">
        <x:v>INHERITED_CANDIDATE_REQUIRES_NATIVE_PIN_REVIEW</x:v>
      </x:c>
      <x:c r="R50" s="11" t="str">
        <x:v>User v5 scope; no procurement permission</x:v>
      </x:c>
      <x:c r="S50" s="11" t="str">
        <x:v>Inherited candidate quantity; netlist/thermal review pending</x:v>
      </x:c>
      <x:c r="T50" s="11" t="str">
        <x:v>UNKNOWN</x:v>
      </x:c>
      <x:c r="U50" s="11" t="str">
        <x:v>背面电子件 / 正面TX RX</x:v>
      </x:c>
      <x:c r="V50" s="11" t="str">
        <x:v>HOLD</x:v>
      </x:c>
    </x:row>
    <x:row r="51" ht="108" customHeight="1">
      <x:c r="A51" s="11" t="str">
        <x:v>B-047</x:v>
      </x:c>
      <x:c r="B51" s="11" t="str">
        <x:v>1µF驱动储能</x:v>
      </x:c>
      <x:c r="C51" s="11" t="str">
        <x:v>1µF 25V X7R</x:v>
      </x:c>
      <x:c r="D51" s="11" t="str">
        <x:v>UNKNOWN_VERIFY</x:v>
      </x:c>
      <x:c r="E51" s="13" t="n">
        <x:v>33</x:v>
      </x:c>
      <x:c r="F51" s="14" t="n">
        <x:v>0.1</x:v>
      </x:c>
      <x:c r="G51" s="13" t="n">
        <x:f>ROUNDUP(E51*(1+F51),0)</x:f>
        <x:v>37</x:v>
      </x:c>
      <x:c r="H51" s="11" t="str">
        <x:v>DN_B047_001, DN_B047_002, DN_B047_003, DN_B047_004, DN_B047_005, DN_B047_006, DN_B047_007, DN_B047_008, DN_B047_009, DN_B047_010, DN_B047_011, DN_B047_012, DN_B047_013, DN_B047_014, DN_B047_015, DN_B047_016, DN_B047_017, DN_B047_018, DN_B047_019, DN_B047_020, DN_B047_021, DN_B047_022, DN_B047_023, DN_B047_024, DN_B047_025, DN_B047_026, DN_B047_027, DN_B047_028, DN_B047_029, DN_B047_030, DN_B047_031, DN_B047_032, DN_B047_033</x:v>
      </x:c>
      <x:c r="I51" s="11" t="str">
        <x:v>0805; Pin1/EP原生库待核</x:v>
      </x:c>
      <x:c r="J51" s="11" t="str">
        <x:v>按原v5零件计数移植；新布板新增保护网路另计</x:v>
      </x:c>
      <x:c r="K51" s="11" t="str">
        <x:v>UNKNOWN</x:v>
      </x:c>
      <x:c r="L51" s="11" t="str">
        <x:v>LOCAL12V / 5V / 3V3</x:v>
      </x:c>
      <x:c r="M51" s="11" t="str">
        <x:v>https://github.com/loverlike1216/SonoField-FPGA/blob/main/v5/hardware/bom/BOM_MASTER.csv</x:v>
      </x:c>
      <x:c r="N51" s="11" t="str">
        <x:v>授权渠道待选；不默认替代</x:v>
      </x:c>
      <x:c r="O51" s="11" t="str">
        <x:v>UNKNOWN_VERIFY</x:v>
      </x:c>
      <x:c r="P51" s="11" t="str">
        <x:v>2026-10-11</x:v>
      </x:c>
      <x:c r="Q51" s="11" t="str">
        <x:v>INHERITED_CANDIDATE_REQUIRES_NATIVE_PIN_REVIEW</x:v>
      </x:c>
      <x:c r="R51" s="11" t="str">
        <x:v>User v5 scope; no procurement permission</x:v>
      </x:c>
      <x:c r="S51" s="11" t="str">
        <x:v>Inherited candidate quantity; netlist/thermal review pending</x:v>
      </x:c>
      <x:c r="T51" s="11" t="str">
        <x:v>UNKNOWN</x:v>
      </x:c>
      <x:c r="U51" s="11" t="str">
        <x:v>背面电子件 / 正面TX RX</x:v>
      </x:c>
      <x:c r="V51" s="11" t="str">
        <x:v>HOLD</x:v>
      </x:c>
    </x:row>
    <x:row r="52" ht="64" customHeight="1">
      <x:c r="A52" s="11" t="str">
        <x:v>B-048</x:v>
      </x:c>
      <x:c r="B52" s="11" t="str">
        <x:v>22µF局部储能</x:v>
      </x:c>
      <x:c r="C52" s="11" t="str">
        <x:v>22µF 25V X7R</x:v>
      </x:c>
      <x:c r="D52" s="11" t="str">
        <x:v>UNKNOWN_VERIFY</x:v>
      </x:c>
      <x:c r="E52" s="13" t="n">
        <x:v>12</x:v>
      </x:c>
      <x:c r="F52" s="14" t="n">
        <x:v>0.1</x:v>
      </x:c>
      <x:c r="G52" s="13" t="n">
        <x:f>ROUNDUP(E52*(1+F52),0)</x:f>
        <x:v>14</x:v>
      </x:c>
      <x:c r="H52" s="11" t="str">
        <x:v>DN_B048_001, DN_B048_002, DN_B048_003, DN_B048_004, DN_B048_005, DN_B048_006, DN_B048_007, DN_B048_008, DN_B048_009, DN_B048_010, DN_B048_011, DN_B048_012</x:v>
      </x:c>
      <x:c r="I52" s="11" t="str">
        <x:v>1210; Pin1/EP原生库待核</x:v>
      </x:c>
      <x:c r="J52" s="11" t="str">
        <x:v>按原v5零件计数移植；新布板新增保护网路另计</x:v>
      </x:c>
      <x:c r="K52" s="11" t="str">
        <x:v>UNKNOWN</x:v>
      </x:c>
      <x:c r="L52" s="11" t="str">
        <x:v>LOCAL12V / 5V / 3V3</x:v>
      </x:c>
      <x:c r="M52" s="11" t="str">
        <x:v>https://github.com/loverlike1216/SonoField-FPGA/blob/main/v5/hardware/bom/BOM_MASTER.csv</x:v>
      </x:c>
      <x:c r="N52" s="11" t="str">
        <x:v>授权渠道待选；不默认替代</x:v>
      </x:c>
      <x:c r="O52" s="11" t="str">
        <x:v>UNKNOWN_VERIFY</x:v>
      </x:c>
      <x:c r="P52" s="11" t="str">
        <x:v>2026-10-11</x:v>
      </x:c>
      <x:c r="Q52" s="11" t="str">
        <x:v>INHERITED_CANDIDATE_REQUIRES_NATIVE_PIN_REVIEW</x:v>
      </x:c>
      <x:c r="R52" s="11" t="str">
        <x:v>User v5 scope; no procurement permission</x:v>
      </x:c>
      <x:c r="S52" s="11" t="str">
        <x:v>Inherited candidate quantity; netlist/thermal review pending</x:v>
      </x:c>
      <x:c r="T52" s="11" t="str">
        <x:v>UNKNOWN</x:v>
      </x:c>
      <x:c r="U52" s="11" t="str">
        <x:v>背面电子件 / 正面TX RX</x:v>
      </x:c>
      <x:c r="V52" s="11" t="str">
        <x:v>HOLD</x:v>
      </x:c>
    </x:row>
    <x:row r="53" ht="64" customHeight="1">
      <x:c r="A53" s="11" t="str">
        <x:v>B-049</x:v>
      </x:c>
      <x:c r="B53" s="11" t="str">
        <x:v>10µF输入去耦</x:v>
      </x:c>
      <x:c r="C53" s="11" t="str">
        <x:v>10µF 25V X7R</x:v>
      </x:c>
      <x:c r="D53" s="11" t="str">
        <x:v>UNKNOWN_VERIFY</x:v>
      </x:c>
      <x:c r="E53" s="13" t="n">
        <x:v>3</x:v>
      </x:c>
      <x:c r="F53" s="14" t="n">
        <x:v>0.1</x:v>
      </x:c>
      <x:c r="G53" s="13" t="n">
        <x:f>ROUNDUP(E53*(1+F53),0)</x:f>
        <x:v>4</x:v>
      </x:c>
      <x:c r="H53" s="11" t="str">
        <x:v>DN_B049_001, DN_B049_002, DN_B049_003</x:v>
      </x:c>
      <x:c r="I53" s="11" t="str">
        <x:v>1206; Pin1/EP原生库待核</x:v>
      </x:c>
      <x:c r="J53" s="11" t="str">
        <x:v>按原v5零件计数移植；新布板新增保护网路另计</x:v>
      </x:c>
      <x:c r="K53" s="11" t="str">
        <x:v>UNKNOWN</x:v>
      </x:c>
      <x:c r="L53" s="11" t="str">
        <x:v>LOCAL12V / 5V / 3V3</x:v>
      </x:c>
      <x:c r="M53" s="11" t="str">
        <x:v>https://github.com/loverlike1216/SonoField-FPGA/blob/main/v5/hardware/bom/BOM_MASTER.csv</x:v>
      </x:c>
      <x:c r="N53" s="11" t="str">
        <x:v>授权渠道待选；不默认替代</x:v>
      </x:c>
      <x:c r="O53" s="11" t="str">
        <x:v>UNKNOWN_VERIFY</x:v>
      </x:c>
      <x:c r="P53" s="11" t="str">
        <x:v>2026-10-11</x:v>
      </x:c>
      <x:c r="Q53" s="11" t="str">
        <x:v>INHERITED_CANDIDATE_REQUIRES_NATIVE_PIN_REVIEW</x:v>
      </x:c>
      <x:c r="R53" s="11" t="str">
        <x:v>User v5 scope; no procurement permission</x:v>
      </x:c>
      <x:c r="S53" s="11" t="str">
        <x:v>Inherited candidate quantity; netlist/thermal review pending</x:v>
      </x:c>
      <x:c r="T53" s="11" t="str">
        <x:v>UNKNOWN</x:v>
      </x:c>
      <x:c r="U53" s="11" t="str">
        <x:v>背面电子件 / 正面TX RX</x:v>
      </x:c>
      <x:c r="V53" s="11" t="str">
        <x:v>HOLD</x:v>
      </x:c>
    </x:row>
    <x:row r="54" ht="64" customHeight="1">
      <x:c r="A54" s="11" t="str">
        <x:v>B-050</x:v>
      </x:c>
      <x:c r="B54" s="11" t="str">
        <x:v>2.2µF LDO稳定电容</x:v>
      </x:c>
      <x:c r="C54" s="11" t="str">
        <x:v>2.2µF 25V X7R</x:v>
      </x:c>
      <x:c r="D54" s="11" t="str">
        <x:v>UNKNOWN_VERIFY</x:v>
      </x:c>
      <x:c r="E54" s="13" t="n">
        <x:v>2</x:v>
      </x:c>
      <x:c r="F54" s="14" t="n">
        <x:v>0.1</x:v>
      </x:c>
      <x:c r="G54" s="13" t="n">
        <x:f>ROUNDUP(E54*(1+F54),0)</x:f>
        <x:v>3</x:v>
      </x:c>
      <x:c r="H54" s="11" t="str">
        <x:v>DN_B050_001, DN_B050_002</x:v>
      </x:c>
      <x:c r="I54" s="11" t="str">
        <x:v>0805; Pin1/EP原生库待核</x:v>
      </x:c>
      <x:c r="J54" s="11" t="str">
        <x:v>按原v5零件计数移植；新布板新增保护网路另计</x:v>
      </x:c>
      <x:c r="K54" s="11" t="str">
        <x:v>UNKNOWN</x:v>
      </x:c>
      <x:c r="L54" s="11" t="str">
        <x:v>LOCAL12V / 5V / 3V3</x:v>
      </x:c>
      <x:c r="M54" s="11" t="str">
        <x:v>https://github.com/loverlike1216/SonoField-FPGA/blob/main/v5/hardware/bom/BOM_MASTER.csv</x:v>
      </x:c>
      <x:c r="N54" s="11" t="str">
        <x:v>授权渠道待选；不默认替代</x:v>
      </x:c>
      <x:c r="O54" s="11" t="str">
        <x:v>UNKNOWN_VERIFY</x:v>
      </x:c>
      <x:c r="P54" s="11" t="str">
        <x:v>2026-10-11</x:v>
      </x:c>
      <x:c r="Q54" s="11" t="str">
        <x:v>INHERITED_CANDIDATE_REQUIRES_NATIVE_PIN_REVIEW</x:v>
      </x:c>
      <x:c r="R54" s="11" t="str">
        <x:v>User v5 scope; no procurement permission</x:v>
      </x:c>
      <x:c r="S54" s="11" t="str">
        <x:v>Inherited candidate quantity; netlist/thermal review pending</x:v>
      </x:c>
      <x:c r="T54" s="11" t="str">
        <x:v>UNKNOWN</x:v>
      </x:c>
      <x:c r="U54" s="11" t="str">
        <x:v>背面电子件 / 正面TX RX</x:v>
      </x:c>
      <x:c r="V54" s="11" t="str">
        <x:v>HOLD</x:v>
      </x:c>
    </x:row>
    <x:row r="55" ht="64" customHeight="1">
      <x:c r="A55" s="11" t="str">
        <x:v>B-051</x:v>
      </x:c>
      <x:c r="B55" s="11" t="str">
        <x:v>470µF低ESR主储能</x:v>
      </x:c>
      <x:c r="C55" s="11" t="str">
        <x:v>470µF 35V</x:v>
      </x:c>
      <x:c r="D55" s="11" t="str">
        <x:v>UNKNOWN_VERIFY</x:v>
      </x:c>
      <x:c r="E55" s="13" t="n">
        <x:v>1</x:v>
      </x:c>
      <x:c r="F55" s="14" t="n">
        <x:v>0.1</x:v>
      </x:c>
      <x:c r="G55" s="13" t="n">
        <x:f>ROUNDUP(E55*(1+F55),0)</x:f>
        <x:v>2</x:v>
      </x:c>
      <x:c r="H55" s="11" t="str">
        <x:v>DN_B051_001</x:v>
      </x:c>
      <x:c r="I55" s="11" t="str">
        <x:v>THT; Pin1/EP原生库待核</x:v>
      </x:c>
      <x:c r="J55" s="11" t="str">
        <x:v>按原v5零件计数移植；新布板新增保护网路另计</x:v>
      </x:c>
      <x:c r="K55" s="11" t="str">
        <x:v>UNKNOWN</x:v>
      </x:c>
      <x:c r="L55" s="11" t="str">
        <x:v>LOCAL12V / 5V / 3V3</x:v>
      </x:c>
      <x:c r="M55" s="11" t="str">
        <x:v>https://github.com/loverlike1216/SonoField-FPGA/blob/main/v5/hardware/bom/BOM_MASTER.csv</x:v>
      </x:c>
      <x:c r="N55" s="11" t="str">
        <x:v>授权渠道待选；不默认替代</x:v>
      </x:c>
      <x:c r="O55" s="11" t="str">
        <x:v>UNKNOWN_VERIFY</x:v>
      </x:c>
      <x:c r="P55" s="11" t="str">
        <x:v>2026-10-11</x:v>
      </x:c>
      <x:c r="Q55" s="11" t="str">
        <x:v>INHERITED_CANDIDATE_REQUIRES_NATIVE_PIN_REVIEW</x:v>
      </x:c>
      <x:c r="R55" s="11" t="str">
        <x:v>User v5 scope; no procurement permission</x:v>
      </x:c>
      <x:c r="S55" s="11" t="str">
        <x:v>No central12V supply/converter or5V-to5V LDO headroom; central header budget HOLD</x:v>
      </x:c>
      <x:c r="T55" s="11" t="str">
        <x:v>UNKNOWN</x:v>
      </x:c>
      <x:c r="U55" s="11" t="str">
        <x:v>背面电子件 / 正面TX RX</x:v>
      </x:c>
      <x:c r="V55" s="11" t="str">
        <x:v>HOLD</x:v>
      </x:c>
    </x:row>
    <x:row r="56" ht="64" customHeight="1">
      <x:c r="A56" s="11" t="str">
        <x:v>B-052</x:v>
      </x:c>
      <x:c r="B56" s="11" t="str">
        <x:v>10nF RX耦合</x:v>
      </x:c>
      <x:c r="C56" s="11" t="str">
        <x:v>10nF 50V C0G</x:v>
      </x:c>
      <x:c r="D56" s="11" t="str">
        <x:v>UNKNOWN_VERIFY</x:v>
      </x:c>
      <x:c r="E56" s="13" t="n">
        <x:v>4</x:v>
      </x:c>
      <x:c r="F56" s="14" t="n">
        <x:v>0.1</x:v>
      </x:c>
      <x:c r="G56" s="13" t="n">
        <x:f>ROUNDUP(E56*(1+F56),0)</x:f>
        <x:v>5</x:v>
      </x:c>
      <x:c r="H56" s="11" t="str">
        <x:v>DN_B052_001, DN_B052_002, DN_B052_003, DN_B052_004</x:v>
      </x:c>
      <x:c r="I56" s="11" t="str">
        <x:v>0603; Pin1/EP原生库待核</x:v>
      </x:c>
      <x:c r="J56" s="11" t="str">
        <x:v>按原v5零件计数移植；新布板新增保护网路另计</x:v>
      </x:c>
      <x:c r="K56" s="11" t="str">
        <x:v>UNKNOWN</x:v>
      </x:c>
      <x:c r="L56" s="11" t="str">
        <x:v>LOCAL12V / 5V / 3V3</x:v>
      </x:c>
      <x:c r="M56" s="11" t="str">
        <x:v>https://github.com/loverlike1216/SonoField-FPGA/blob/main/v5/hardware/bom/BOM_MASTER.csv</x:v>
      </x:c>
      <x:c r="N56" s="11" t="str">
        <x:v>授权渠道待选；不默认替代</x:v>
      </x:c>
      <x:c r="O56" s="11" t="str">
        <x:v>UNKNOWN_VERIFY</x:v>
      </x:c>
      <x:c r="P56" s="11" t="str">
        <x:v>2026-10-11</x:v>
      </x:c>
      <x:c r="Q56" s="11" t="str">
        <x:v>INHERITED_CANDIDATE_REQUIRES_NATIVE_PIN_REVIEW</x:v>
      </x:c>
      <x:c r="R56" s="11" t="str">
        <x:v>User v5 scope; no procurement permission</x:v>
      </x:c>
      <x:c r="S56" s="11" t="str">
        <x:v>Inherited candidate quantity; netlist/thermal review pending</x:v>
      </x:c>
      <x:c r="T56" s="11" t="str">
        <x:v>UNKNOWN</x:v>
      </x:c>
      <x:c r="U56" s="11" t="str">
        <x:v>背面电子件 / 正面TX RX</x:v>
      </x:c>
      <x:c r="V56" s="11" t="str">
        <x:v>HOLD</x:v>
      </x:c>
    </x:row>
    <x:row r="57" ht="64" customHeight="1">
      <x:c r="A57" s="11" t="str">
        <x:v>B-053</x:v>
      </x:c>
      <x:c r="B57" s="11" t="str">
        <x:v>1nF RX噪声过滤</x:v>
      </x:c>
      <x:c r="C57" s="11" t="str">
        <x:v>1nF 50V C0G</x:v>
      </x:c>
      <x:c r="D57" s="11" t="str">
        <x:v>UNKNOWN_VERIFY</x:v>
      </x:c>
      <x:c r="E57" s="13" t="n">
        <x:v>4</x:v>
      </x:c>
      <x:c r="F57" s="14" t="n">
        <x:v>0.1</x:v>
      </x:c>
      <x:c r="G57" s="13" t="n">
        <x:f>ROUNDUP(E57*(1+F57),0)</x:f>
        <x:v>5</x:v>
      </x:c>
      <x:c r="H57" s="11" t="str">
        <x:v>DN_B053_001, DN_B053_002, DN_B053_003, DN_B053_004</x:v>
      </x:c>
      <x:c r="I57" s="11" t="str">
        <x:v>0603; Pin1/EP原生库待核</x:v>
      </x:c>
      <x:c r="J57" s="11" t="str">
        <x:v>按原v5零件计数移植；新布板新增保护网路另计</x:v>
      </x:c>
      <x:c r="K57" s="11" t="str">
        <x:v>UNKNOWN</x:v>
      </x:c>
      <x:c r="L57" s="11" t="str">
        <x:v>LOCAL12V / 5V / 3V3</x:v>
      </x:c>
      <x:c r="M57" s="11" t="str">
        <x:v>https://github.com/loverlike1216/SonoField-FPGA/blob/main/v5/hardware/bom/BOM_MASTER.csv</x:v>
      </x:c>
      <x:c r="N57" s="11" t="str">
        <x:v>授权渠道待选；不默认替代</x:v>
      </x:c>
      <x:c r="O57" s="11" t="str">
        <x:v>UNKNOWN_VERIFY</x:v>
      </x:c>
      <x:c r="P57" s="11" t="str">
        <x:v>2026-10-11</x:v>
      </x:c>
      <x:c r="Q57" s="11" t="str">
        <x:v>INHERITED_CANDIDATE_REQUIRES_NATIVE_PIN_REVIEW</x:v>
      </x:c>
      <x:c r="R57" s="11" t="str">
        <x:v>User v5 scope; no procurement permission</x:v>
      </x:c>
      <x:c r="S57" s="11" t="str">
        <x:v>Inherited candidate quantity; netlist/thermal review pending</x:v>
      </x:c>
      <x:c r="T57" s="11" t="str">
        <x:v>UNKNOWN</x:v>
      </x:c>
      <x:c r="U57" s="11" t="str">
        <x:v>背面电子件 / 正面TX RX</x:v>
      </x:c>
      <x:c r="V57" s="11" t="str">
        <x:v>HOLD</x:v>
      </x:c>
    </x:row>
    <x:row r="58" ht="300" customHeight="1">
      <x:c r="A58" s="11" t="str">
        <x:v>B-054</x:v>
      </x:c>
      <x:c r="B58" s="11" t="str">
        <x:v>100kΩ上拉/下拉</x:v>
      </x:c>
      <x:c r="C58" s="11" t="str">
        <x:v>100kΩ 1%</x:v>
      </x:c>
      <x:c r="D58" s="11" t="str">
        <x:v>UNKNOWN_VERIFY</x:v>
      </x:c>
      <x:c r="E58" s="13" t="n">
        <x:v>89</x:v>
      </x:c>
      <x:c r="F58" s="14" t="n">
        <x:v>0.1</x:v>
      </x:c>
      <x:c r="G58" s="13" t="n">
        <x:f>ROUNDUP(E58*(1+F58),0)</x:f>
        <x:v>98</x:v>
      </x:c>
      <x:c r="H58" s="11" t="str">
        <x:v>DN_B054_001, DN_B054_002, DN_B054_003, DN_B054_004, DN_B054_005, DN_B054_006, DN_B054_007, DN_B054_008, DN_B054_009, DN_B054_010, DN_B054_011, DN_B054_012, DN_B054_013, DN_B054_014, DN_B054_015, DN_B054_016, DN_B054_017, DN_B054_018, DN_B054_019, DN_B054_020, DN_B054_021, DN_B054_022, DN_B054_023, DN_B054_024, DN_B054_025, DN_B054_026, DN_B054_027, DN_B054_028, DN_B054_029, DN_B054_030, DN_B054_031, DN_B054_032, DN_B054_033, DN_B054_034, DN_B054_035, DN_B054_036, DN_B054_037, DN_B054_038, DN_B054_039, DN_B054_040, DN_B054_041, DN_B054_042, DN_B054_043, DN_B054_044, DN_B054_045, DN_B054_046, DN_B054_047, DN_B054_048, DN_B054_049, DN_B054_050, DN_B054_051, DN_B054_052, DN_B054_053, DN_B054_054, DN_B054_055, DN_B054_056, DN_B054_057, DN_B054_058, DN_B054_059, DN_B054_060, DN_B054_061, DN_B054_062, DN_B054_063, DN_B054_064, DN_B054_065, DN_B054_066, DN_B054_067, DN_B054_068, DN_B054_069, DN_B054_070, DN_B054_071, DN_B054_072, DN_B054_073, DN_B054_074, DN_B054_075, DN_B054_076, DN_B054_077, DN_B054_078, DN_B054_079, DN_B054_080, DN_B054_081, DN_B054_082, DN_B054_083, DN_B054_084, DN_B054_085, DN_B054_086, DN_B054_087, DN_B054_088, DN_B054_089</x:v>
      </x:c>
      <x:c r="I58" s="11" t="str">
        <x:v>0603; Pin1/EP原生库待核</x:v>
      </x:c>
      <x:c r="J58" s="11" t="str">
        <x:v>按原v5零件计数移植；新布板新增保护网路另计</x:v>
      </x:c>
      <x:c r="K58" s="11" t="str">
        <x:v>UNKNOWN</x:v>
      </x:c>
      <x:c r="L58" s="11" t="str">
        <x:v>LOCAL12V / 5V / 3V3</x:v>
      </x:c>
      <x:c r="M58" s="11" t="str">
        <x:v>https://github.com/loverlike1216/SonoField-FPGA/blob/main/v5/hardware/bom/BOM_MASTER.csv</x:v>
      </x:c>
      <x:c r="N58" s="11" t="str">
        <x:v>授权渠道待选；不默认替代</x:v>
      </x:c>
      <x:c r="O58" s="11" t="str">
        <x:v>UNKNOWN_VERIFY</x:v>
      </x:c>
      <x:c r="P58" s="11" t="str">
        <x:v>2026-10-11</x:v>
      </x:c>
      <x:c r="Q58" s="11" t="str">
        <x:v>INHERITED_CANDIDATE_REQUIRES_NATIVE_PIN_REVIEW</x:v>
      </x:c>
      <x:c r="R58" s="11" t="str">
        <x:v>User v5 scope; no procurement permission</x:v>
      </x:c>
      <x:c r="S58" s="11" t="str">
        <x:v>Inherited candidate quantity; netlist/thermal review pending</x:v>
      </x:c>
      <x:c r="T58" s="11" t="str">
        <x:v>UNKNOWN</x:v>
      </x:c>
      <x:c r="U58" s="11" t="str">
        <x:v>背面电子件 / 正面TX RX</x:v>
      </x:c>
      <x:c r="V58" s="11" t="str">
        <x:v>HOLD</x:v>
      </x:c>
    </x:row>
    <x:row r="59" ht="64" customHeight="1">
      <x:c r="A59" s="11" t="str">
        <x:v>B-055</x:v>
      </x:c>
      <x:c r="B59" s="11" t="str">
        <x:v>10kΩ上拉/下拉</x:v>
      </x:c>
      <x:c r="C59" s="11" t="str">
        <x:v>10kΩ 1%</x:v>
      </x:c>
      <x:c r="D59" s="11" t="str">
        <x:v>UNKNOWN_VERIFY</x:v>
      </x:c>
      <x:c r="E59" s="13" t="n">
        <x:v>3</x:v>
      </x:c>
      <x:c r="F59" s="14" t="n">
        <x:v>0.1</x:v>
      </x:c>
      <x:c r="G59" s="13" t="n">
        <x:f>ROUNDUP(E59*(1+F59),0)</x:f>
        <x:v>4</x:v>
      </x:c>
      <x:c r="H59" s="11" t="str">
        <x:v>DN_B055_001, DN_B055_002, DN_B055_003</x:v>
      </x:c>
      <x:c r="I59" s="11" t="str">
        <x:v>0603; Pin1/EP原生库待核</x:v>
      </x:c>
      <x:c r="J59" s="11" t="str">
        <x:v>按原v5零件计数移植；新布板新增保护网路另计</x:v>
      </x:c>
      <x:c r="K59" s="11" t="str">
        <x:v>UNKNOWN</x:v>
      </x:c>
      <x:c r="L59" s="11" t="str">
        <x:v>LOCAL12V / 5V / 3V3</x:v>
      </x:c>
      <x:c r="M59" s="11" t="str">
        <x:v>https://github.com/loverlike1216/SonoField-FPGA/blob/main/v5/hardware/bom/BOM_MASTER.csv</x:v>
      </x:c>
      <x:c r="N59" s="11" t="str">
        <x:v>授权渠道待选；不默认替代</x:v>
      </x:c>
      <x:c r="O59" s="11" t="str">
        <x:v>UNKNOWN_VERIFY</x:v>
      </x:c>
      <x:c r="P59" s="11" t="str">
        <x:v>2026-10-11</x:v>
      </x:c>
      <x:c r="Q59" s="11" t="str">
        <x:v>INHERITED_CANDIDATE_REQUIRES_NATIVE_PIN_REVIEW</x:v>
      </x:c>
      <x:c r="R59" s="11" t="str">
        <x:v>User v5 scope; no procurement permission</x:v>
      </x:c>
      <x:c r="S59" s="11" t="str">
        <x:v>Inherited candidate quantity; netlist/thermal review pending</x:v>
      </x:c>
      <x:c r="T59" s="11" t="str">
        <x:v>UNKNOWN</x:v>
      </x:c>
      <x:c r="U59" s="11" t="str">
        <x:v>背面电子件 / 正面TX RX</x:v>
      </x:c>
      <x:c r="V59" s="11" t="str">
        <x:v>HOLD</x:v>
      </x:c>
    </x:row>
    <x:row r="60" ht="64" customHeight="1">
      <x:c r="A60" s="11" t="str">
        <x:v>B-056</x:v>
      </x:c>
      <x:c r="B60" s="11" t="str">
        <x:v>4.7kΩ I²C上拉</x:v>
      </x:c>
      <x:c r="C60" s="11" t="str">
        <x:v>4.7kΩ 1%</x:v>
      </x:c>
      <x:c r="D60" s="11" t="str">
        <x:v>UNKNOWN_VERIFY</x:v>
      </x:c>
      <x:c r="E60" s="13" t="n">
        <x:v>2</x:v>
      </x:c>
      <x:c r="F60" s="14" t="n">
        <x:v>0.1</x:v>
      </x:c>
      <x:c r="G60" s="13" t="n">
        <x:f>ROUNDUP(E60*(1+F60),0)</x:f>
        <x:v>3</x:v>
      </x:c>
      <x:c r="H60" s="11" t="str">
        <x:v>DN_B056_001, DN_B056_002</x:v>
      </x:c>
      <x:c r="I60" s="11" t="str">
        <x:v>0603; Pin1/EP原生库待核</x:v>
      </x:c>
      <x:c r="J60" s="11" t="str">
        <x:v>按原v5零件计数移植；新布板新增保护网路另计</x:v>
      </x:c>
      <x:c r="K60" s="11" t="str">
        <x:v>UNKNOWN</x:v>
      </x:c>
      <x:c r="L60" s="11" t="str">
        <x:v>LOCAL12V / 5V / 3V3</x:v>
      </x:c>
      <x:c r="M60" s="11" t="str">
        <x:v>https://github.com/loverlike1216/SonoField-FPGA/blob/main/v5/hardware/bom/BOM_MASTER.csv</x:v>
      </x:c>
      <x:c r="N60" s="11" t="str">
        <x:v>授权渠道待选；不默认替代</x:v>
      </x:c>
      <x:c r="O60" s="11" t="str">
        <x:v>UNKNOWN_VERIFY</x:v>
      </x:c>
      <x:c r="P60" s="11" t="str">
        <x:v>2026-10-11</x:v>
      </x:c>
      <x:c r="Q60" s="11" t="str">
        <x:v>INHERITED_CANDIDATE_REQUIRES_NATIVE_PIN_REVIEW</x:v>
      </x:c>
      <x:c r="R60" s="11" t="str">
        <x:v>User v5 scope; no procurement permission</x:v>
      </x:c>
      <x:c r="S60" s="11" t="str">
        <x:v>Inherited candidate quantity; netlist/thermal review pending</x:v>
      </x:c>
      <x:c r="T60" s="11" t="str">
        <x:v>UNKNOWN</x:v>
      </x:c>
      <x:c r="U60" s="11" t="str">
        <x:v>背面电子件 / 正面TX RX</x:v>
      </x:c>
      <x:c r="V60" s="11" t="str">
        <x:v>HOLD</x:v>
      </x:c>
    </x:row>
    <x:row r="61" ht="64" customHeight="1">
      <x:c r="A61" s="11" t="str">
        <x:v>B-057</x:v>
      </x:c>
      <x:c r="B61" s="11" t="str">
        <x:v>1kΩ RX串联</x:v>
      </x:c>
      <x:c r="C61" s="11" t="str">
        <x:v>1kΩ 1%</x:v>
      </x:c>
      <x:c r="D61" s="11" t="str">
        <x:v>UNKNOWN_VERIFY</x:v>
      </x:c>
      <x:c r="E61" s="13" t="n">
        <x:v>8</x:v>
      </x:c>
      <x:c r="F61" s="14" t="n">
        <x:v>0.1</x:v>
      </x:c>
      <x:c r="G61" s="13" t="n">
        <x:f>ROUNDUP(E61*(1+F61),0)</x:f>
        <x:v>9</x:v>
      </x:c>
      <x:c r="H61" s="11" t="str">
        <x:v>DN_B057_001, DN_B057_002, DN_B057_003, DN_B057_004, DN_B057_005, DN_B057_006, DN_B057_007, DN_B057_008</x:v>
      </x:c>
      <x:c r="I61" s="11" t="str">
        <x:v>0603; Pin1/EP原生库待核</x:v>
      </x:c>
      <x:c r="J61" s="11" t="str">
        <x:v>按原v5零件计数移植；新布板新增保护网路另计</x:v>
      </x:c>
      <x:c r="K61" s="11" t="str">
        <x:v>UNKNOWN</x:v>
      </x:c>
      <x:c r="L61" s="11" t="str">
        <x:v>LOCAL12V / 5V / 3V3</x:v>
      </x:c>
      <x:c r="M61" s="11" t="str">
        <x:v>https://github.com/loverlike1216/SonoField-FPGA/blob/main/v5/hardware/bom/BOM_MASTER.csv</x:v>
      </x:c>
      <x:c r="N61" s="11" t="str">
        <x:v>授权渠道待选；不默认替代</x:v>
      </x:c>
      <x:c r="O61" s="11" t="str">
        <x:v>UNKNOWN_VERIFY</x:v>
      </x:c>
      <x:c r="P61" s="11" t="str">
        <x:v>2026-10-11</x:v>
      </x:c>
      <x:c r="Q61" s="11" t="str">
        <x:v>INHERITED_CANDIDATE_REQUIRES_NATIVE_PIN_REVIEW</x:v>
      </x:c>
      <x:c r="R61" s="11" t="str">
        <x:v>User v5 scope; no procurement permission</x:v>
      </x:c>
      <x:c r="S61" s="11" t="str">
        <x:v>Inherited candidate quantity; netlist/thermal review pending</x:v>
      </x:c>
      <x:c r="T61" s="11" t="str">
        <x:v>UNKNOWN</x:v>
      </x:c>
      <x:c r="U61" s="11" t="str">
        <x:v>背面电子件 / 正面TX RX</x:v>
      </x:c>
      <x:c r="V61" s="11" t="str">
        <x:v>HOLD</x:v>
      </x:c>
    </x:row>
    <x:row r="62" ht="64" customHeight="1">
      <x:c r="A62" s="11" t="str">
        <x:v>B-058</x:v>
      </x:c>
      <x:c r="B62" s="11" t="str">
        <x:v>47Ω模拟阻尼</x:v>
      </x:c>
      <x:c r="C62" s="11" t="str">
        <x:v>47Ω 1%</x:v>
      </x:c>
      <x:c r="D62" s="11" t="str">
        <x:v>UNKNOWN_VERIFY</x:v>
      </x:c>
      <x:c r="E62" s="13" t="n">
        <x:v>4</x:v>
      </x:c>
      <x:c r="F62" s="14" t="n">
        <x:v>0.1</x:v>
      </x:c>
      <x:c r="G62" s="13" t="n">
        <x:f>ROUNDUP(E62*(1+F62),0)</x:f>
        <x:v>5</x:v>
      </x:c>
      <x:c r="H62" s="11" t="str">
        <x:v>DN_B058_001, DN_B058_002, DN_B058_003, DN_B058_004</x:v>
      </x:c>
      <x:c r="I62" s="11" t="str">
        <x:v>0603; Pin1/EP原生库待核</x:v>
      </x:c>
      <x:c r="J62" s="11" t="str">
        <x:v>按原v5零件计数移植；新布板新增保护网路另计</x:v>
      </x:c>
      <x:c r="K62" s="11" t="str">
        <x:v>UNKNOWN</x:v>
      </x:c>
      <x:c r="L62" s="11" t="str">
        <x:v>LOCAL12V / 5V / 3V3</x:v>
      </x:c>
      <x:c r="M62" s="11" t="str">
        <x:v>https://github.com/loverlike1216/SonoField-FPGA/blob/main/v5/hardware/bom/BOM_MASTER.csv</x:v>
      </x:c>
      <x:c r="N62" s="11" t="str">
        <x:v>授权渠道待选；不默认替代</x:v>
      </x:c>
      <x:c r="O62" s="11" t="str">
        <x:v>UNKNOWN_VERIFY</x:v>
      </x:c>
      <x:c r="P62" s="11" t="str">
        <x:v>2026-10-11</x:v>
      </x:c>
      <x:c r="Q62" s="11" t="str">
        <x:v>INHERITED_CANDIDATE_REQUIRES_NATIVE_PIN_REVIEW</x:v>
      </x:c>
      <x:c r="R62" s="11" t="str">
        <x:v>User v5 scope; no procurement permission</x:v>
      </x:c>
      <x:c r="S62" s="11" t="str">
        <x:v>Inherited candidate quantity; netlist/thermal review pending</x:v>
      </x:c>
      <x:c r="T62" s="11" t="str">
        <x:v>UNKNOWN</x:v>
      </x:c>
      <x:c r="U62" s="11" t="str">
        <x:v>背面电子件 / 正面TX RX</x:v>
      </x:c>
      <x:c r="V62" s="11" t="str">
        <x:v>HOLD</x:v>
      </x:c>
    </x:row>
    <x:row r="63" ht="64" customHeight="1">
      <x:c r="A63" s="11" t="str">
        <x:v>B-059</x:v>
      </x:c>
      <x:c r="B63" s="11" t="str">
        <x:v>33Ω高速阻尼</x:v>
      </x:c>
      <x:c r="C63" s="11" t="str">
        <x:v>33Ω 1%</x:v>
      </x:c>
      <x:c r="D63" s="11" t="str">
        <x:v>UNKNOWN_VERIFY</x:v>
      </x:c>
      <x:c r="E63" s="13" t="n">
        <x:v>8</x:v>
      </x:c>
      <x:c r="F63" s="14" t="n">
        <x:v>0.1</x:v>
      </x:c>
      <x:c r="G63" s="13" t="n">
        <x:f>ROUNDUP(E63*(1+F63),0)</x:f>
        <x:v>9</x:v>
      </x:c>
      <x:c r="H63" s="11" t="str">
        <x:v>DN_B059_001, DN_B059_002, DN_B059_003, DN_B059_004, DN_B059_005, DN_B059_006, DN_B059_007, DN_B059_008</x:v>
      </x:c>
      <x:c r="I63" s="11" t="str">
        <x:v>0603; Pin1/EP原生库待核</x:v>
      </x:c>
      <x:c r="J63" s="11" t="str">
        <x:v>按原v5零件计数移植；新布板新增保护网路另计</x:v>
      </x:c>
      <x:c r="K63" s="11" t="str">
        <x:v>UNKNOWN</x:v>
      </x:c>
      <x:c r="L63" s="11" t="str">
        <x:v>LOCAL12V / 5V / 3V3</x:v>
      </x:c>
      <x:c r="M63" s="11" t="str">
        <x:v>https://github.com/loverlike1216/SonoField-FPGA/blob/main/v5/hardware/bom/BOM_MASTER.csv</x:v>
      </x:c>
      <x:c r="N63" s="11" t="str">
        <x:v>授权渠道待选；不默认替代</x:v>
      </x:c>
      <x:c r="O63" s="11" t="str">
        <x:v>UNKNOWN_VERIFY</x:v>
      </x:c>
      <x:c r="P63" s="11" t="str">
        <x:v>2026-10-11</x:v>
      </x:c>
      <x:c r="Q63" s="11" t="str">
        <x:v>INHERITED_CANDIDATE_REQUIRES_NATIVE_PIN_REVIEW</x:v>
      </x:c>
      <x:c r="R63" s="11" t="str">
        <x:v>User v5 scope; no procurement permission</x:v>
      </x:c>
      <x:c r="S63" s="11" t="str">
        <x:v>Inherited candidate quantity; netlist/thermal review pending</x:v>
      </x:c>
      <x:c r="T63" s="11" t="str">
        <x:v>UNKNOWN</x:v>
      </x:c>
      <x:c r="U63" s="11" t="str">
        <x:v>背面电子件 / 正面TX RX</x:v>
      </x:c>
      <x:c r="V63" s="11" t="str">
        <x:v>HOLD</x:v>
      </x:c>
    </x:row>
    <x:row r="64" ht="64" customHeight="1">
      <x:c r="A64" s="11" t="str">
        <x:v>B-060</x:v>
      </x:c>
      <x:c r="B64" s="11" t="str">
        <x:v>10Ω监测滤波</x:v>
      </x:c>
      <x:c r="C64" s="11" t="str">
        <x:v>10Ω 1%</x:v>
      </x:c>
      <x:c r="D64" s="11" t="str">
        <x:v>UNKNOWN_VERIFY</x:v>
      </x:c>
      <x:c r="E64" s="13" t="n">
        <x:v>2</x:v>
      </x:c>
      <x:c r="F64" s="14" t="n">
        <x:v>0.1</x:v>
      </x:c>
      <x:c r="G64" s="13" t="n">
        <x:f>ROUNDUP(E64*(1+F64),0)</x:f>
        <x:v>3</x:v>
      </x:c>
      <x:c r="H64" s="11" t="str">
        <x:v>DN_B060_001, DN_B060_002</x:v>
      </x:c>
      <x:c r="I64" s="11" t="str">
        <x:v>0603; Pin1/EP原生库待核</x:v>
      </x:c>
      <x:c r="J64" s="11" t="str">
        <x:v>按原v5零件计数移植；新布板新增保护网路另计</x:v>
      </x:c>
      <x:c r="K64" s="11" t="str">
        <x:v>UNKNOWN</x:v>
      </x:c>
      <x:c r="L64" s="11" t="str">
        <x:v>LOCAL12V / 5V / 3V3</x:v>
      </x:c>
      <x:c r="M64" s="11" t="str">
        <x:v>https://github.com/loverlike1216/SonoField-FPGA/blob/main/v5/hardware/bom/BOM_MASTER.csv</x:v>
      </x:c>
      <x:c r="N64" s="11" t="str">
        <x:v>授权渠道待选；不默认替代</x:v>
      </x:c>
      <x:c r="O64" s="11" t="str">
        <x:v>UNKNOWN_VERIFY</x:v>
      </x:c>
      <x:c r="P64" s="11" t="str">
        <x:v>2026-10-11</x:v>
      </x:c>
      <x:c r="Q64" s="11" t="str">
        <x:v>INHERITED_CANDIDATE_REQUIRES_NATIVE_PIN_REVIEW</x:v>
      </x:c>
      <x:c r="R64" s="11" t="str">
        <x:v>User v5 scope; no procurement permission</x:v>
      </x:c>
      <x:c r="S64" s="11" t="str">
        <x:v>Inherited candidate quantity; netlist/thermal review pending</x:v>
      </x:c>
      <x:c r="T64" s="11" t="str">
        <x:v>UNKNOWN</x:v>
      </x:c>
      <x:c r="U64" s="11" t="str">
        <x:v>背面电子件 / 正面TX RX</x:v>
      </x:c>
      <x:c r="V64" s="11" t="str">
        <x:v>HOLD</x:v>
      </x:c>
    </x:row>
    <x:row r="65" ht="228" customHeight="1">
      <x:c r="A65" s="11" t="str">
        <x:v>B-061</x:v>
      </x:c>
      <x:c r="B65" s="11" t="str">
        <x:v>0Ω通道选择跳线</x:v>
      </x:c>
      <x:c r="C65" s="11" t="str">
        <x:v>0Ω 0603</x:v>
      </x:c>
      <x:c r="D65" s="11" t="str">
        <x:v>UNKNOWN_VERIFY</x:v>
      </x:c>
      <x:c r="E65" s="13" t="n">
        <x:v>68</x:v>
      </x:c>
      <x:c r="F65" s="14" t="n">
        <x:v>0.1</x:v>
      </x:c>
      <x:c r="G65" s="13" t="n">
        <x:f>ROUNDUP(E65*(1+F65),0)</x:f>
        <x:v>75</x:v>
      </x:c>
      <x:c r="H65" s="11" t="str">
        <x:v>DN_B061_001, DN_B061_002, DN_B061_003, DN_B061_004, DN_B061_005, DN_B061_006, DN_B061_007, DN_B061_008, DN_B061_009, DN_B061_010, DN_B061_011, DN_B061_012, DN_B061_013, DN_B061_014, DN_B061_015, DN_B061_016, DN_B061_017, DN_B061_018, DN_B061_019, DN_B061_020, DN_B061_021, DN_B061_022, DN_B061_023, DN_B061_024, DN_B061_025, DN_B061_026, DN_B061_027, DN_B061_028, DN_B061_029, DN_B061_030, DN_B061_031, DN_B061_032, DN_B061_033, DN_B061_034, DN_B061_035, DN_B061_036, DN_B061_037, DN_B061_038, DN_B061_039, DN_B061_040, DN_B061_041, DN_B061_042, DN_B061_043, DN_B061_044, DN_B061_045, DN_B061_046, DN_B061_047, DN_B061_048, DN_B061_049, DN_B061_050, DN_B061_051, DN_B061_052, DN_B061_053, DN_B061_054, DN_B061_055, DN_B061_056, DN_B061_057, DN_B061_058, DN_B061_059, DN_B061_060, DN_B061_061, DN_B061_062, DN_B061_063, DN_B061_064, DN_B061_065, DN_B061_066, DN_B061_067, DN_B061_068</x:v>
      </x:c>
      <x:c r="I65" s="11" t="str">
        <x:v>0603; Pin1/EP原生库待核</x:v>
      </x:c>
      <x:c r="J65" s="11" t="str">
        <x:v>按原v5零件计数移植；新布板新增保护网路另计</x:v>
      </x:c>
      <x:c r="K65" s="11" t="str">
        <x:v>UNKNOWN</x:v>
      </x:c>
      <x:c r="L65" s="11" t="str">
        <x:v>LOCAL12V / 5V / 3V3</x:v>
      </x:c>
      <x:c r="M65" s="11" t="str">
        <x:v>https://github.com/loverlike1216/SonoField-FPGA/blob/main/v5/hardware/bom/BOM_MASTER.csv</x:v>
      </x:c>
      <x:c r="N65" s="11" t="str">
        <x:v>授权渠道待选；不默认替代</x:v>
      </x:c>
      <x:c r="O65" s="11" t="str">
        <x:v>UNKNOWN_VERIFY</x:v>
      </x:c>
      <x:c r="P65" s="11" t="str">
        <x:v>2026-10-11</x:v>
      </x:c>
      <x:c r="Q65" s="11" t="str">
        <x:v>INHERITED_CANDIDATE_REQUIRES_NATIVE_PIN_REVIEW</x:v>
      </x:c>
      <x:c r="R65" s="11" t="str">
        <x:v>User v5 scope; no procurement permission</x:v>
      </x:c>
      <x:c r="S65" s="11" t="str">
        <x:v>Inherited candidate quantity; netlist/thermal review pending</x:v>
      </x:c>
      <x:c r="T65" s="11" t="str">
        <x:v>UNKNOWN</x:v>
      </x:c>
      <x:c r="U65" s="11" t="str">
        <x:v>背面电子件 / 正面TX RX</x:v>
      </x:c>
      <x:c r="V65" s="11" t="str">
        <x:v>HOLD</x:v>
      </x:c>
    </x:row>
    <x:row r="66" ht="64" customHeight="1">
      <x:c r="A66" s="11" t="str">
        <x:v>B-062</x:v>
      </x:c>
      <x:c r="B66" s="11" t="str">
        <x:v>1.65kΩ限流编程</x:v>
      </x:c>
      <x:c r="C66" s="11" t="str">
        <x:v>1.65kΩ 1%</x:v>
      </x:c>
      <x:c r="D66" s="11" t="str">
        <x:v>UNKNOWN_VERIFY</x:v>
      </x:c>
      <x:c r="E66" s="13" t="n">
        <x:v>1</x:v>
      </x:c>
      <x:c r="F66" s="14" t="n">
        <x:v>0.1</x:v>
      </x:c>
      <x:c r="G66" s="13" t="n">
        <x:f>ROUNDUP(E66*(1+F66),0)</x:f>
        <x:v>2</x:v>
      </x:c>
      <x:c r="H66" s="11" t="str">
        <x:v>DN_B062_001</x:v>
      </x:c>
      <x:c r="I66" s="11" t="str">
        <x:v>0603; Pin1/EP原生库待核</x:v>
      </x:c>
      <x:c r="J66" s="11" t="str">
        <x:v>1.65kΩ→约2.02A标称；不是5.5A</x:v>
      </x:c>
      <x:c r="K66" s="11" t="str">
        <x:v>UNKNOWN</x:v>
      </x:c>
      <x:c r="L66" s="11" t="str">
        <x:v>LOCAL12V / 5V / 3V3</x:v>
      </x:c>
      <x:c r="M66" s="11" t="str">
        <x:v>https://github.com/loverlike1216/SonoField-FPGA/blob/main/v5/hardware/bom/BOM_MASTER.csv</x:v>
      </x:c>
      <x:c r="N66" s="11" t="str">
        <x:v>授权渠道待选；不默认替代</x:v>
      </x:c>
      <x:c r="O66" s="11" t="str">
        <x:v>UNKNOWN_VERIFY</x:v>
      </x:c>
      <x:c r="P66" s="11" t="str">
        <x:v>2026-10-11</x:v>
      </x:c>
      <x:c r="Q66" s="11" t="str">
        <x:v>INHERITED_CANDIDATE_REQUIRES_NATIVE_PIN_REVIEW</x:v>
      </x:c>
      <x:c r="R66" s="11" t="str">
        <x:v>User v5 scope; no procurement permission</x:v>
      </x:c>
      <x:c r="S66" s="11" t="str">
        <x:v>Inherited candidate quantity; netlist/thermal review pending</x:v>
      </x:c>
      <x:c r="T66" s="11" t="str">
        <x:v>UNKNOWN</x:v>
      </x:c>
      <x:c r="U66" s="11" t="str">
        <x:v>背面电子件 / 正面TX RX</x:v>
      </x:c>
      <x:c r="V66" s="11" t="str">
        <x:v>HOLD</x:v>
      </x:c>
    </x:row>
    <x:row r="67" ht="64" customHeight="1">
      <x:c r="A67" s="11" t="str">
        <x:v>B-063</x:v>
      </x:c>
      <x:c r="B67" s="11" t="str">
        <x:v>1.37MΩ过压编程</x:v>
      </x:c>
      <x:c r="C67" s="11" t="str">
        <x:v>1.37MΩ 1%</x:v>
      </x:c>
      <x:c r="D67" s="11" t="str">
        <x:v>UNKNOWN_VERIFY</x:v>
      </x:c>
      <x:c r="E67" s="13" t="n">
        <x:v>1</x:v>
      </x:c>
      <x:c r="F67" s="14" t="n">
        <x:v>0.1</x:v>
      </x:c>
      <x:c r="G67" s="13" t="n">
        <x:f>ROUNDUP(E67*(1+F67),0)</x:f>
        <x:v>2</x:v>
      </x:c>
      <x:c r="H67" s="11" t="str">
        <x:v>DN_B063_001</x:v>
      </x:c>
      <x:c r="I67" s="11" t="str">
        <x:v>0603; Pin1/EP原生库待核</x:v>
      </x:c>
      <x:c r="J67" s="11" t="str">
        <x:v>按原v5零件计数移植；新布板新增保护网路另计</x:v>
      </x:c>
      <x:c r="K67" s="11" t="str">
        <x:v>UNKNOWN</x:v>
      </x:c>
      <x:c r="L67" s="11" t="str">
        <x:v>LOCAL12V / 5V / 3V3</x:v>
      </x:c>
      <x:c r="M67" s="11" t="str">
        <x:v>https://github.com/loverlike1216/SonoField-FPGA/blob/main/v5/hardware/bom/BOM_MASTER.csv</x:v>
      </x:c>
      <x:c r="N67" s="11" t="str">
        <x:v>授权渠道待选；不默认替代</x:v>
      </x:c>
      <x:c r="O67" s="11" t="str">
        <x:v>UNKNOWN_VERIFY</x:v>
      </x:c>
      <x:c r="P67" s="11" t="str">
        <x:v>2026-10-11</x:v>
      </x:c>
      <x:c r="Q67" s="11" t="str">
        <x:v>INHERITED_CANDIDATE_REQUIRES_NATIVE_PIN_REVIEW</x:v>
      </x:c>
      <x:c r="R67" s="11" t="str">
        <x:v>User v5 scope; no procurement permission</x:v>
      </x:c>
      <x:c r="S67" s="11" t="str">
        <x:v>Inherited candidate quantity; netlist/thermal review pending</x:v>
      </x:c>
      <x:c r="T67" s="11" t="str">
        <x:v>UNKNOWN</x:v>
      </x:c>
      <x:c r="U67" s="11" t="str">
        <x:v>背面电子件 / 正面TX RX</x:v>
      </x:c>
      <x:c r="V67" s="11" t="str">
        <x:v>HOLD</x:v>
      </x:c>
    </x:row>
    <x:row r="68" ht="64" customHeight="1">
      <x:c r="A68" s="11" t="str">
        <x:v>B-064</x:v>
      </x:c>
      <x:c r="B68" s="11" t="str">
        <x:v>590kΩ反馈</x:v>
      </x:c>
      <x:c r="C68" s="11" t="str">
        <x:v>590kΩ 1%</x:v>
      </x:c>
      <x:c r="D68" s="11" t="str">
        <x:v>UNKNOWN_VERIFY</x:v>
      </x:c>
      <x:c r="E68" s="13" t="n">
        <x:v>1</x:v>
      </x:c>
      <x:c r="F68" s="14" t="n">
        <x:v>0.1</x:v>
      </x:c>
      <x:c r="G68" s="13" t="n">
        <x:f>ROUNDUP(E68*(1+F68),0)</x:f>
        <x:v>2</x:v>
      </x:c>
      <x:c r="H68" s="11" t="str">
        <x:v>DN_B064_001</x:v>
      </x:c>
      <x:c r="I68" s="11" t="str">
        <x:v>0603; Pin1/EP原生库待核</x:v>
      </x:c>
      <x:c r="J68" s="11" t="str">
        <x:v>按原v5零件计数移植；新布板新增保护网路另计</x:v>
      </x:c>
      <x:c r="K68" s="11" t="str">
        <x:v>UNKNOWN</x:v>
      </x:c>
      <x:c r="L68" s="11" t="str">
        <x:v>LOCAL12V / 5V / 3V3</x:v>
      </x:c>
      <x:c r="M68" s="11" t="str">
        <x:v>https://github.com/loverlike1216/SonoField-FPGA/blob/main/v5/hardware/bom/BOM_MASTER.csv</x:v>
      </x:c>
      <x:c r="N68" s="11" t="str">
        <x:v>授权渠道待选；不默认替代</x:v>
      </x:c>
      <x:c r="O68" s="11" t="str">
        <x:v>UNKNOWN_VERIFY</x:v>
      </x:c>
      <x:c r="P68" s="11" t="str">
        <x:v>2026-10-11</x:v>
      </x:c>
      <x:c r="Q68" s="11" t="str">
        <x:v>INHERITED_CANDIDATE_REQUIRES_NATIVE_PIN_REVIEW</x:v>
      </x:c>
      <x:c r="R68" s="11" t="str">
        <x:v>User v5 scope; no procurement permission</x:v>
      </x:c>
      <x:c r="S68" s="11" t="str">
        <x:v>Inherited candidate quantity; netlist/thermal review pending</x:v>
      </x:c>
      <x:c r="T68" s="11" t="str">
        <x:v>UNKNOWN</x:v>
      </x:c>
      <x:c r="U68" s="11" t="str">
        <x:v>背面电子件 / 正面TX RX</x:v>
      </x:c>
      <x:c r="V68" s="11" t="str">
        <x:v>HOLD</x:v>
      </x:c>
    </x:row>
    <x:row r="69" ht="64" customHeight="1">
      <x:c r="A69" s="11" t="str">
        <x:v>B-065</x:v>
      </x:c>
      <x:c r="B69" s="11" t="str">
        <x:v>100kΩ高精度反馈</x:v>
      </x:c>
      <x:c r="C69" s="11" t="str">
        <x:v>100kΩ 0.1%</x:v>
      </x:c>
      <x:c r="D69" s="11" t="str">
        <x:v>UNKNOWN_VERIFY</x:v>
      </x:c>
      <x:c r="E69" s="13" t="n">
        <x:v>4</x:v>
      </x:c>
      <x:c r="F69" s="14" t="n">
        <x:v>0.1</x:v>
      </x:c>
      <x:c r="G69" s="13" t="n">
        <x:f>ROUNDUP(E69*(1+F69),0)</x:f>
        <x:v>5</x:v>
      </x:c>
      <x:c r="H69" s="11" t="str">
        <x:v>DN_B065_001, DN_B065_002, DN_B065_003, DN_B065_004</x:v>
      </x:c>
      <x:c r="I69" s="11" t="str">
        <x:v>0603; Pin1/EP原生库待核</x:v>
      </x:c>
      <x:c r="J69" s="11" t="str">
        <x:v>按原v5零件计数移植；新布板新增保护网路另计</x:v>
      </x:c>
      <x:c r="K69" s="11" t="str">
        <x:v>UNKNOWN</x:v>
      </x:c>
      <x:c r="L69" s="11" t="str">
        <x:v>LOCAL12V / 5V / 3V3</x:v>
      </x:c>
      <x:c r="M69" s="11" t="str">
        <x:v>https://github.com/loverlike1216/SonoField-FPGA/blob/main/v5/hardware/bom/BOM_MASTER.csv</x:v>
      </x:c>
      <x:c r="N69" s="11" t="str">
        <x:v>授权渠道待选；不默认替代</x:v>
      </x:c>
      <x:c r="O69" s="11" t="str">
        <x:v>UNKNOWN_VERIFY</x:v>
      </x:c>
      <x:c r="P69" s="11" t="str">
        <x:v>2026-10-11</x:v>
      </x:c>
      <x:c r="Q69" s="11" t="str">
        <x:v>INHERITED_CANDIDATE_REQUIRES_NATIVE_PIN_REVIEW</x:v>
      </x:c>
      <x:c r="R69" s="11" t="str">
        <x:v>User v5 scope; no procurement permission</x:v>
      </x:c>
      <x:c r="S69" s="11" t="str">
        <x:v>Inherited candidate quantity; netlist/thermal review pending</x:v>
      </x:c>
      <x:c r="T69" s="11" t="str">
        <x:v>UNKNOWN</x:v>
      </x:c>
      <x:c r="U69" s="11" t="str">
        <x:v>背面电子件 / 正面TX RX</x:v>
      </x:c>
      <x:c r="V69" s="11" t="str">
        <x:v>HOLD</x:v>
      </x:c>
    </x:row>
    <x:row r="70" ht="64" customHeight="1">
      <x:c r="A70" s="11" t="str">
        <x:v>B-066</x:v>
      </x:c>
      <x:c r="B70" s="11" t="str">
        <x:v>10kΩ高精度反馈</x:v>
      </x:c>
      <x:c r="C70" s="11" t="str">
        <x:v>10kΩ 0.1%</x:v>
      </x:c>
      <x:c r="D70" s="11" t="str">
        <x:v>UNKNOWN_VERIFY</x:v>
      </x:c>
      <x:c r="E70" s="13" t="n">
        <x:v>12</x:v>
      </x:c>
      <x:c r="F70" s="14" t="n">
        <x:v>0.1</x:v>
      </x:c>
      <x:c r="G70" s="13" t="n">
        <x:f>ROUNDUP(E70*(1+F70),0)</x:f>
        <x:v>14</x:v>
      </x:c>
      <x:c r="H70" s="11" t="str">
        <x:v>DN_B066_001, DN_B066_002, DN_B066_003, DN_B066_004, DN_B066_005, DN_B066_006, DN_B066_007, DN_B066_008, DN_B066_009, DN_B066_010, DN_B066_011, DN_B066_012</x:v>
      </x:c>
      <x:c r="I70" s="11" t="str">
        <x:v>0603; Pin1/EP原生库待核</x:v>
      </x:c>
      <x:c r="J70" s="11" t="str">
        <x:v>按原v5零件计数移植；新布板新增保护网路另计</x:v>
      </x:c>
      <x:c r="K70" s="11" t="str">
        <x:v>UNKNOWN</x:v>
      </x:c>
      <x:c r="L70" s="11" t="str">
        <x:v>LOCAL12V / 5V / 3V3</x:v>
      </x:c>
      <x:c r="M70" s="11" t="str">
        <x:v>https://github.com/loverlike1216/SonoField-FPGA/blob/main/v5/hardware/bom/BOM_MASTER.csv</x:v>
      </x:c>
      <x:c r="N70" s="11" t="str">
        <x:v>授权渠道待选；不默认替代</x:v>
      </x:c>
      <x:c r="O70" s="11" t="str">
        <x:v>UNKNOWN_VERIFY</x:v>
      </x:c>
      <x:c r="P70" s="11" t="str">
        <x:v>2026-10-11</x:v>
      </x:c>
      <x:c r="Q70" s="11" t="str">
        <x:v>INHERITED_CANDIDATE_REQUIRES_NATIVE_PIN_REVIEW</x:v>
      </x:c>
      <x:c r="R70" s="11" t="str">
        <x:v>User v5 scope; no procurement permission</x:v>
      </x:c>
      <x:c r="S70" s="11" t="str">
        <x:v>Inherited candidate quantity; netlist/thermal review pending</x:v>
      </x:c>
      <x:c r="T70" s="11" t="str">
        <x:v>UNKNOWN</x:v>
      </x:c>
      <x:c r="U70" s="11" t="str">
        <x:v>背面电子件 / 正面TX RX</x:v>
      </x:c>
      <x:c r="V70" s="11" t="str">
        <x:v>HOLD</x:v>
      </x:c>
    </x:row>
    <x:row r="71" ht="64" customHeight="1">
      <x:c r="A71" s="11" t="str">
        <x:v>B-067</x:v>
      </x:c>
      <x:c r="B71" s="11" t="str">
        <x:v>TX电阻调谐预留</x:v>
      </x:c>
      <x:c r="C71" s="11" t="str">
        <x:v>1.2kΩ 0603 DNP</x:v>
      </x:c>
      <x:c r="D71" s="11" t="str">
        <x:v>UNKNOWN_VERIFY</x:v>
      </x:c>
      <x:c r="E71" s="13" t="n">
        <x:v>0</x:v>
      </x:c>
      <x:c r="F71" s="14" t="n">
        <x:v>0.1</x:v>
      </x:c>
      <x:c r="G71" s="13" t="n">
        <x:f>ROUNDUP(E71*(1+F71),0)</x:f>
        <x:v>0</x:v>
      </x:c>
      <x:c r="H71" s="11" t="str"/>
      <x:c r="I71" s="11" t="str">
        <x:v>0603; Pin1/EP原生库待核</x:v>
      </x:c>
      <x:c r="J71" s="11" t="str">
        <x:v>128位置默认不装</x:v>
      </x:c>
      <x:c r="K71" s="11" t="str">
        <x:v>UNKNOWN</x:v>
      </x:c>
      <x:c r="L71" s="11" t="str">
        <x:v>LOCAL12V / 5V / 3V3</x:v>
      </x:c>
      <x:c r="M71" s="11" t="str">
        <x:v>https://github.com/loverlike1216/SonoField-FPGA/blob/main/v5/hardware/bom/BOM_MASTER.csv</x:v>
      </x:c>
      <x:c r="N71" s="11" t="str">
        <x:v>授权渠道待选；不默认替代</x:v>
      </x:c>
      <x:c r="O71" s="11" t="str">
        <x:v>UNKNOWN_VERIFY</x:v>
      </x:c>
      <x:c r="P71" s="11" t="str">
        <x:v>2026-10-11</x:v>
      </x:c>
      <x:c r="Q71" s="11" t="str">
        <x:v>INHERITED_CANDIDATE_REQUIRES_NATIVE_PIN_REVIEW</x:v>
      </x:c>
      <x:c r="R71" s="11" t="str">
        <x:v>User v5 scope; no procurement permission</x:v>
      </x:c>
      <x:c r="S71" s="11" t="str">
        <x:v>Inherited candidate quantity; netlist/thermal review pending</x:v>
      </x:c>
      <x:c r="T71" s="11" t="str">
        <x:v>UNKNOWN</x:v>
      </x:c>
      <x:c r="U71" s="11" t="str">
        <x:v>背面电子件 / 正面TX RX</x:v>
      </x:c>
      <x:c r="V71" s="11" t="str">
        <x:v>HOLD</x:v>
      </x:c>
    </x:row>
    <x:row r="72" ht="64" customHeight="1">
      <x:c r="A72" s="11" t="str">
        <x:v>B-068</x:v>
      </x:c>
      <x:c r="B72" s="11" t="str">
        <x:v>AFE增益调整预留</x:v>
      </x:c>
      <x:c r="C72" s="11" t="str">
        <x:v>39kΩ 0.1% DNP</x:v>
      </x:c>
      <x:c r="D72" s="11" t="str">
        <x:v>UNKNOWN_VERIFY</x:v>
      </x:c>
      <x:c r="E72" s="13" t="n">
        <x:v>0</x:v>
      </x:c>
      <x:c r="F72" s="14" t="n">
        <x:v>0.1</x:v>
      </x:c>
      <x:c r="G72" s="13" t="n">
        <x:f>ROUNDUP(E72*(1+F72),0)</x:f>
        <x:v>0</x:v>
      </x:c>
      <x:c r="H72" s="11" t="str"/>
      <x:c r="I72" s="11" t="str">
        <x:v>0603; Pin1/EP原生库待核</x:v>
      </x:c>
      <x:c r="J72" s="11" t="str">
        <x:v>默认不装；每通道调参位</x:v>
      </x:c>
      <x:c r="K72" s="11" t="str">
        <x:v>UNKNOWN</x:v>
      </x:c>
      <x:c r="L72" s="11" t="str">
        <x:v>LOCAL12V / 5V / 3V3</x:v>
      </x:c>
      <x:c r="M72" s="11" t="str">
        <x:v>https://github.com/loverlike1216/SonoField-FPGA/blob/main/v5/hardware/bom/BOM_MASTER.csv</x:v>
      </x:c>
      <x:c r="N72" s="11" t="str">
        <x:v>授权渠道待选；不默认替代</x:v>
      </x:c>
      <x:c r="O72" s="11" t="str">
        <x:v>UNKNOWN_VERIFY</x:v>
      </x:c>
      <x:c r="P72" s="11" t="str">
        <x:v>2026-10-11</x:v>
      </x:c>
      <x:c r="Q72" s="11" t="str">
        <x:v>INHERITED_CANDIDATE_REQUIRES_NATIVE_PIN_REVIEW</x:v>
      </x:c>
      <x:c r="R72" s="11" t="str">
        <x:v>User v5 scope; no procurement permission</x:v>
      </x:c>
      <x:c r="S72" s="11" t="str">
        <x:v>Inherited candidate quantity; netlist/thermal review pending</x:v>
      </x:c>
      <x:c r="T72" s="11" t="str">
        <x:v>UNKNOWN</x:v>
      </x:c>
      <x:c r="U72" s="11" t="str">
        <x:v>背面电子件 / 正面TX RX</x:v>
      </x:c>
      <x:c r="V72" s="11" t="str">
        <x:v>HOLD</x:v>
      </x:c>
    </x:row>
    <x:row r="73" ht="64" customHeight="1">
      <x:c r="A73" s="11" t="str">
        <x:v>B-069</x:v>
      </x:c>
      <x:c r="B73" s="11" t="str">
        <x:v>4层阵列PCB</x:v>
      </x:c>
      <x:c r="C73" s="11" t="str">
        <x:v>200x180mm_COMMON_ARRAY_EXTENSION_CANDIDATE</x:v>
      </x:c>
      <x:c r="D73" s="11" t="str">
        <x:v>UNKNOWN_VERIFY</x:v>
      </x:c>
      <x:c r="E73" s="13" t="n">
        <x:v>1</x:v>
      </x:c>
      <x:c r="F73" s="14" t="n">
        <x:v>0.1</x:v>
      </x:c>
      <x:c r="G73" s="13" t="n">
        <x:f>ROUNDUP(E73*(1+F73),0)</x:f>
        <x:v>2</x:v>
      </x:c>
      <x:c r="H73" s="11" t="str">
        <x:v>DN_B069_001</x:v>
      </x:c>
      <x:c r="I73" s="11" t="str">
        <x:v>PCB; Pin1/EP原生库待核</x:v>
      </x:c>
      <x:c r="J73" s="11" t="str">
        <x:v>单板64 TX+4RX+驱动/AFE；空间布局受限需密度审查</x:v>
      </x:c>
      <x:c r="K73" s="11" t="str">
        <x:v>UNKNOWN</x:v>
      </x:c>
      <x:c r="L73" s="11" t="str">
        <x:v>LOCAL12V / 5V / 3V3</x:v>
      </x:c>
      <x:c r="M73" s="11" t="str">
        <x:v>https://jlcpcb.com</x:v>
      </x:c>
      <x:c r="N73" s="11" t="str">
        <x:v>授权渠道待选；不默认替代</x:v>
      </x:c>
      <x:c r="O73" s="11" t="str">
        <x:v>UNKNOWN_VERIFY</x:v>
      </x:c>
      <x:c r="P73" s="11" t="str">
        <x:v>2026-10-11</x:v>
      </x:c>
      <x:c r="Q73" s="11" t="str">
        <x:v>INHERITED_CANDIDATE_REQUIRES_NATIVE_PIN_REVIEW</x:v>
      </x:c>
      <x:c r="R73" s="11" t="str">
        <x:v>User v5 scope; no procurement permission</x:v>
      </x:c>
      <x:c r="S73" s="11" t="str">
        <x:v>Electronics outside118.3mm acoustic projection; mechanical/routing/thermal proof HOLD</x:v>
      </x:c>
      <x:c r="T73" s="11" t="str">
        <x:v>UNKNOWN</x:v>
      </x:c>
      <x:c r="U73" s="11" t="str">
        <x:v>背面电子件 / 正面TX RX</x:v>
      </x:c>
      <x:c r="V73" s="11" t="str">
        <x:v>HOLD</x:v>
      </x:c>
    </x:row>
    <x:row r="74" ht="64" customHeight="1">
      <x:c r="A74" s="11" t="str">
        <x:v>B-070</x:v>
      </x:c>
      <x:c r="B74" s="11" t="str">
        <x:v>4层AX7020适配/ADC PCB</x:v>
      </x:c>
      <x:c r="C74" s="11" t="str">
        <x:v>100×80mm 4L候选</x:v>
      </x:c>
      <x:c r="D74" s="11" t="str">
        <x:v>UNKNOWN_VERIFY</x:v>
      </x:c>
      <x:c r="E74" s="13" t="n">
        <x:v>0</x:v>
      </x:c>
      <x:c r="F74" s="14" t="n">
        <x:v>0.1</x:v>
      </x:c>
      <x:c r="G74" s="13" t="n">
        <x:f>ROUNDUP(E74*(1+F74),0)</x:f>
        <x:v>0</x:v>
      </x:c>
      <x:c r="H74" s="11" t="str"/>
      <x:c r="I74" s="11" t="str">
        <x:v>PCB; Pin1/EP原生库待核</x:v>
      </x:c>
      <x:c r="J74" s="11" t="str">
        <x:v>尺寸随对接连接器/J10-J11位置确定</x:v>
      </x:c>
      <x:c r="K74" s="11" t="str">
        <x:v>UNKNOWN</x:v>
      </x:c>
      <x:c r="L74" s="11" t="str">
        <x:v>LOCAL12V / 5V / 3V3</x:v>
      </x:c>
      <x:c r="M74" s="11" t="str">
        <x:v>https://jlcpcb.com</x:v>
      </x:c>
      <x:c r="N74" s="11" t="str">
        <x:v>授权渠道待选；不默认替代</x:v>
      </x:c>
      <x:c r="O74" s="11" t="str">
        <x:v>UNKNOWN_VERIFY</x:v>
      </x:c>
      <x:c r="P74" s="11" t="str">
        <x:v>2026-10-11</x:v>
      </x:c>
      <x:c r="Q74" s="11" t="str">
        <x:v>INHERITED_CANDIDATE_REQUIRES_NATIVE_PIN_REVIEW</x:v>
      </x:c>
      <x:c r="R74" s="11" t="str">
        <x:v>User v5 scope; no procurement permission</x:v>
      </x:c>
      <x:c r="S74" s="11" t="str">
        <x:v>Central interface board ONLY AX7020 protected single source per rail; no central external12V</x:v>
      </x:c>
      <x:c r="T74" s="11" t="str">
        <x:v>UNKNOWN</x:v>
      </x:c>
      <x:c r="U74" s="11" t="str">
        <x:v>背面电子件 / 正面TX RX</x:v>
      </x:c>
      <x:c r="V74" s="11" t="str">
        <x:v>HOLD</x:v>
      </x:c>
    </x:row>
    <x:row r="75" ht="64" customHeight="1">
      <x:c r="A75" s="11" t="str">
        <x:v>B-071</x:v>
      </x:c>
      <x:c r="B75" s="11" t="str">
        <x:v>2层SHT45小板</x:v>
      </x:c>
      <x:c r="C75" s="11" t="str">
        <x:v>20×20mm 2L候选</x:v>
      </x:c>
      <x:c r="D75" s="11" t="str">
        <x:v>UNKNOWN_VERIFY</x:v>
      </x:c>
      <x:c r="E75" s="13" t="n">
        <x:v>0</x:v>
      </x:c>
      <x:c r="F75" s="14" t="n">
        <x:v>0.1</x:v>
      </x:c>
      <x:c r="G75" s="13" t="n">
        <x:f>ROUNDUP(E75*(1+F75),0)</x:f>
        <x:v>0</x:v>
      </x:c>
      <x:c r="H75" s="11" t="str"/>
      <x:c r="I75" s="11" t="str">
        <x:v>PCB; Pin1/EP原生库待核</x:v>
      </x:c>
      <x:c r="J75" s="11" t="str">
        <x:v>远离功率阵列</x:v>
      </x:c>
      <x:c r="K75" s="11" t="str">
        <x:v>UNKNOWN</x:v>
      </x:c>
      <x:c r="L75" s="11" t="str">
        <x:v>LOCAL12V / 5V / 3V3</x:v>
      </x:c>
      <x:c r="M75" s="11" t="str">
        <x:v>https://jlcpcb.com</x:v>
      </x:c>
      <x:c r="N75" s="11" t="str">
        <x:v>授权渠道待选；不默认替代</x:v>
      </x:c>
      <x:c r="O75" s="11" t="str">
        <x:v>UNKNOWN_VERIFY</x:v>
      </x:c>
      <x:c r="P75" s="11" t="str">
        <x:v>2026-10-11</x:v>
      </x:c>
      <x:c r="Q75" s="11" t="str">
        <x:v>INHERITED_CANDIDATE_REQUIRES_NATIVE_PIN_REVIEW</x:v>
      </x:c>
      <x:c r="R75" s="11" t="str">
        <x:v>User v5 scope; no procurement permission</x:v>
      </x:c>
      <x:c r="S75" s="11" t="str">
        <x:v>Inherited candidate quantity; netlist/thermal review pending</x:v>
      </x:c>
      <x:c r="T75" s="11" t="str">
        <x:v>UNKNOWN</x:v>
      </x:c>
      <x:c r="U75" s="11" t="str">
        <x:v>背面电子件 / 正面TX RX</x:v>
      </x:c>
      <x:c r="V75" s="11" t="str">
        <x:v>HOLD</x:v>
      </x:c>
    </x:row>
    <x:row r="76" ht="64" customHeight="1">
      <x:c r="A76" s="11" t="str">
        <x:v>B-072</x:v>
      </x:c>
      <x:c r="B76" s="11" t="str">
        <x:v>对置阵列固定件</x:v>
      </x:c>
      <x:c r="C76" s="11" t="str">
        <x:v>M3非磁性螺钉/尼龙柱/滑轨</x:v>
      </x:c>
      <x:c r="D76" s="11" t="str">
        <x:v>UNKNOWN_VERIFY</x:v>
      </x:c>
      <x:c r="E76" s="13" t="n">
        <x:v>0</x:v>
      </x:c>
      <x:c r="F76" s="14" t="n">
        <x:v>0.1</x:v>
      </x:c>
      <x:c r="G76" s="13" t="n">
        <x:f>ROUNDUP(E76*(1+F76),0)</x:f>
        <x:v>0</x:v>
      </x:c>
      <x:c r="H76" s="11" t="str"/>
      <x:c r="I76" s="11" t="str">
        <x:v>机械; Pin1/EP原生库待核</x:v>
      </x:c>
      <x:c r="J76" s="11" t="str">
        <x:v>上下间距90-115mm可调，名义100mm</x:v>
      </x:c>
      <x:c r="K76" s="11" t="str">
        <x:v>UNKNOWN</x:v>
      </x:c>
      <x:c r="L76" s="11" t="str">
        <x:v>LOCAL12V / 5V / 3V3</x:v>
      </x:c>
      <x:c r="M76" s="11" t="str">
        <x:v>https://github.com/loverlike1216/SonoField-FPGA/tree/main/v5</x:v>
      </x:c>
      <x:c r="N76" s="11" t="str">
        <x:v>授权渠道待选；不默认替代</x:v>
      </x:c>
      <x:c r="O76" s="11" t="str">
        <x:v>UNKNOWN_VERIFY</x:v>
      </x:c>
      <x:c r="P76" s="11" t="str">
        <x:v>2026-10-11</x:v>
      </x:c>
      <x:c r="Q76" s="11" t="str">
        <x:v>INHERITED_CANDIDATE_REQUIRES_NATIVE_PIN_REVIEW</x:v>
      </x:c>
      <x:c r="R76" s="11" t="str">
        <x:v>User v5 scope; no procurement permission</x:v>
      </x:c>
      <x:c r="S76" s="11" t="str">
        <x:v>Inherited candidate quantity; netlist/thermal review pending</x:v>
      </x:c>
      <x:c r="T76" s="11" t="str">
        <x:v>UNKNOWN</x:v>
      </x:c>
      <x:c r="U76" s="11" t="str">
        <x:v>背面电子件 / 正面TX RX</x:v>
      </x:c>
      <x:c r="V76" s="11" t="str">
        <x:v>HOLD</x:v>
      </x:c>
    </x:row>
    <x:row r="77" ht="64" customHeight="1">
      <x:c r="A77" s="11" t="str">
        <x:v>PC-001</x:v>
      </x:c>
      <x:c r="B77" s="11" t="str">
        <x:v>Remote I2C hot-swap isolation</x:v>
      </x:c>
      <x:c r="C77" s="11" t="str">
        <x:v>TCA4307DGKR</x:v>
      </x:c>
      <x:c r="D77" s="11" t="str">
        <x:v>UNKNOWN_VERIFY</x:v>
      </x:c>
      <x:c r="E77" s="13" t="n">
        <x:v>0</x:v>
      </x:c>
      <x:c r="F77" s="14" t="n">
        <x:v>0.1</x:v>
      </x:c>
      <x:c r="G77" s="13" t="n">
        <x:f>ROUNDUP(E77*(1+F77),0)</x:f>
        <x:v>0</x:v>
      </x:c>
      <x:c r="H77" s="11" t="str"/>
      <x:c r="I77" s="11" t="str">
        <x:v>VSSOP-8; Pin1/EP原生库待核</x:v>
      </x:c>
      <x:c r="J77" s="11" t="str">
        <x:v>CANDIDATE_REVIEW_REQUIRED</x:v>
      </x:c>
      <x:c r="K77" s="11" t="str">
        <x:v>UNKNOWN</x:v>
      </x:c>
      <x:c r="L77" s="11" t="str">
        <x:v>LOCAL12V / 5V / 3V3</x:v>
      </x:c>
      <x:c r="M77" s="11" t="str">
        <x:v>https://www.ti.com/product/TCA4307</x:v>
      </x:c>
      <x:c r="N77" s="11" t="str">
        <x:v>授权渠道待选；不默认替代</x:v>
      </x:c>
      <x:c r="O77" s="11" t="str">
        <x:v>UNKNOWN_VERIFY</x:v>
      </x:c>
      <x:c r="P77" s="11" t="str">
        <x:v>2026-10-11</x:v>
      </x:c>
      <x:c r="Q77" s="11" t="str">
        <x:v>INHERITED_CANDIDATE_REQUIRES_NATIVE_PIN_REVIEW</x:v>
      </x:c>
      <x:c r="R77" s="11" t="str">
        <x:v>User v5 scope; no procurement permission</x:v>
      </x:c>
      <x:c r="S77" s="11" t="str">
        <x:v>Electrical/thermal qualification HOLD</x:v>
      </x:c>
      <x:c r="T77" s="11" t="str">
        <x:v>UNKNOWN</x:v>
      </x:c>
      <x:c r="U77" s="11" t="str">
        <x:v>背面电子件 / 正面TX RX</x:v>
      </x:c>
      <x:c r="V77" s="11" t="str">
        <x:v>HOLD</x:v>
      </x:c>
    </x:row>
    <x:row r="78" ht="64" customHeight="1">
      <x:c r="A78" s="11" t="str">
        <x:v>PC-002</x:v>
      </x:c>
      <x:c r="B78" s="11" t="str">
        <x:v>Driver hotspot independent comparator</x:v>
      </x:c>
      <x:c r="C78" s="11" t="str">
        <x:v>PART_SELECTION_HOLD</x:v>
      </x:c>
      <x:c r="D78" s="11" t="str">
        <x:v>UNKNOWN_VERIFY</x:v>
      </x:c>
      <x:c r="E78" s="13" t="n">
        <x:v>0</x:v>
      </x:c>
      <x:c r="F78" s="14" t="n">
        <x:v>0.1</x:v>
      </x:c>
      <x:c r="G78" s="13" t="n">
        <x:f>ROUNDUP(E78*(1+F78),0)</x:f>
        <x:v>0</x:v>
      </x:c>
      <x:c r="H78" s="11" t="str"/>
      <x:c r="I78" s="11" t="str">
        <x:v>HOLD; Pin1/EP原生库待核</x:v>
      </x:c>
      <x:c r="J78" s="11" t="str">
        <x:v>CANDIDATE_REVIEW_REQUIRED</x:v>
      </x:c>
      <x:c r="K78" s="11" t="str">
        <x:v>UNKNOWN</x:v>
      </x:c>
      <x:c r="L78" s="11" t="str">
        <x:v>LOCAL12V / 5V / 3V3</x:v>
      </x:c>
      <x:c r="M78" s="11" t="str">
        <x:v>USER_SAFETY_REQUIREMENT</x:v>
      </x:c>
      <x:c r="N78" s="11" t="str">
        <x:v>授权渠道待选；不默认替代</x:v>
      </x:c>
      <x:c r="O78" s="11" t="str">
        <x:v>UNKNOWN_VERIFY</x:v>
      </x:c>
      <x:c r="P78" s="11" t="str">
        <x:v>2026-10-11</x:v>
      </x:c>
      <x:c r="Q78" s="11" t="str">
        <x:v>INHERITED_CANDIDATE_REQUIRES_NATIVE_PIN_REVIEW</x:v>
      </x:c>
      <x:c r="R78" s="11" t="str">
        <x:v>User v5 scope; no procurement permission</x:v>
      </x:c>
      <x:c r="S78" s="11" t="str">
        <x:v>SUPERSEDED_OR_OPTIONAL_DNP: see new H entries; not installed twice</x:v>
      </x:c>
      <x:c r="T78" s="11" t="str">
        <x:v>UNKNOWN</x:v>
      </x:c>
      <x:c r="U78" s="11" t="str">
        <x:v>背面电子件 / 正面TX RX</x:v>
      </x:c>
      <x:c r="V78" s="11" t="str">
        <x:v>HOLD</x:v>
      </x:c>
    </x:row>
    <x:row r="79" ht="64" customHeight="1">
      <x:c r="A79" s="11" t="str">
        <x:v>PC-003</x:v>
      </x:c>
      <x:c r="B79" s="11" t="str">
        <x:v>Central header reverse-blocking protection</x:v>
      </x:c>
      <x:c r="C79" s="11" t="str">
        <x:v>PART_SELECTION_HOLD</x:v>
      </x:c>
      <x:c r="D79" s="11" t="str">
        <x:v>UNKNOWN_VERIFY</x:v>
      </x:c>
      <x:c r="E79" s="13" t="n">
        <x:v>0</x:v>
      </x:c>
      <x:c r="F79" s="14" t="n">
        <x:v>0.1</x:v>
      </x:c>
      <x:c r="G79" s="13" t="n">
        <x:f>ROUNDUP(E79*(1+F79),0)</x:f>
        <x:v>0</x:v>
      </x:c>
      <x:c r="H79" s="11" t="str"/>
      <x:c r="I79" s="11" t="str">
        <x:v>HOLD; Pin1/EP原生库待核</x:v>
      </x:c>
      <x:c r="J79" s="11" t="str">
        <x:v>CANDIDATE_REVIEW_REQUIRED</x:v>
      </x:c>
      <x:c r="K79" s="11" t="str">
        <x:v>UNKNOWN</x:v>
      </x:c>
      <x:c r="L79" s="11" t="str">
        <x:v>LOCAL12V / 5V / 3V3</x:v>
      </x:c>
      <x:c r="M79" s="11" t="str">
        <x:v>USER_AX7020_POWER_ONLY_REQUIREMENT</x:v>
      </x:c>
      <x:c r="N79" s="11" t="str">
        <x:v>授权渠道待选；不默认替代</x:v>
      </x:c>
      <x:c r="O79" s="11" t="str">
        <x:v>UNKNOWN_VERIFY</x:v>
      </x:c>
      <x:c r="P79" s="11" t="str">
        <x:v>2026-10-11</x:v>
      </x:c>
      <x:c r="Q79" s="11" t="str">
        <x:v>INHERITED_CANDIDATE_REQUIRES_NATIVE_PIN_REVIEW</x:v>
      </x:c>
      <x:c r="R79" s="11" t="str">
        <x:v>User v5 scope; no procurement permission</x:v>
      </x:c>
      <x:c r="S79" s="11" t="str">
        <x:v>SUPERSEDED_OR_OPTIONAL_DNP: see new H entries; not installed twice</x:v>
      </x:c>
      <x:c r="T79" s="11" t="str">
        <x:v>UNKNOWN</x:v>
      </x:c>
      <x:c r="U79" s="11" t="str">
        <x:v>背面电子件 / 正面TX RX</x:v>
      </x:c>
      <x:c r="V79" s="11" t="str">
        <x:v>HOLD</x:v>
      </x:c>
    </x:row>
    <x:row r="80" ht="64" customHeight="1">
      <x:c r="A80" s="11" t="str">
        <x:v>PC-004</x:v>
      </x:c>
      <x:c r="B80" s="11" t="str">
        <x:v>NC emergency stop independent contact</x:v>
      </x:c>
      <x:c r="C80" s="11" t="str">
        <x:v>PART_SELECTION_HOLD</x:v>
      </x:c>
      <x:c r="D80" s="11" t="str">
        <x:v>UNKNOWN_VERIFY</x:v>
      </x:c>
      <x:c r="E80" s="13" t="n">
        <x:v>0</x:v>
      </x:c>
      <x:c r="F80" s="14" t="n">
        <x:v>0.1</x:v>
      </x:c>
      <x:c r="G80" s="13" t="n">
        <x:f>ROUNDUP(E80*(1+F80),0)</x:f>
        <x:v>0</x:v>
      </x:c>
      <x:c r="H80" s="11" t="str"/>
      <x:c r="I80" s="11" t="str">
        <x:v>HOLD; Pin1/EP原生库待核</x:v>
      </x:c>
      <x:c r="J80" s="11" t="str">
        <x:v>CANDIDATE_REVIEW_REQUIRED</x:v>
      </x:c>
      <x:c r="K80" s="11" t="str">
        <x:v>UNKNOWN</x:v>
      </x:c>
      <x:c r="L80" s="11" t="str">
        <x:v>LOCAL12V / 5V / 3V3</x:v>
      </x:c>
      <x:c r="M80" s="11" t="str">
        <x:v>USER_SAFETY_REQUIREMENT</x:v>
      </x:c>
      <x:c r="N80" s="11" t="str">
        <x:v>授权渠道待选；不默认替代</x:v>
      </x:c>
      <x:c r="O80" s="11" t="str">
        <x:v>UNKNOWN_VERIFY</x:v>
      </x:c>
      <x:c r="P80" s="11" t="str">
        <x:v>2026-10-11</x:v>
      </x:c>
      <x:c r="Q80" s="11" t="str">
        <x:v>INHERITED_CANDIDATE_REQUIRES_NATIVE_PIN_REVIEW</x:v>
      </x:c>
      <x:c r="R80" s="11" t="str">
        <x:v>User v5 scope; no procurement permission</x:v>
      </x:c>
      <x:c r="S80" s="11" t="str">
        <x:v>SUPERSEDED_OR_OPTIONAL_DNP: see new H entries; not installed twice</x:v>
      </x:c>
      <x:c r="T80" s="11" t="str">
        <x:v>UNKNOWN</x:v>
      </x:c>
      <x:c r="U80" s="11" t="str">
        <x:v>背面电子件 / 正面TX RX</x:v>
      </x:c>
      <x:c r="V80" s="11" t="str">
        <x:v>HOLD</x:v>
      </x:c>
    </x:row>
    <x:row r="81" ht="64" customHeight="1">
      <x:c r="A81" s="11" t="str">
        <x:v>NS-001</x:v>
      </x:c>
      <x:c r="B81" s="11" t="str">
        <x:v>Independent NC estop safety loop connector</x:v>
      </x:c>
      <x:c r="C81" s="11" t="str">
        <x:v>PART_SELECTION_HOLD</x:v>
      </x:c>
      <x:c r="D81" s="11" t="str">
        <x:v>UNKNOWN_VERIFY</x:v>
      </x:c>
      <x:c r="E81" s="13" t="n">
        <x:v>1</x:v>
      </x:c>
      <x:c r="F81" s="14" t="n">
        <x:v>0.1</x:v>
      </x:c>
      <x:c r="G81" s="13" t="n">
        <x:f>ROUNDUP(E81*(1+F81),0)</x:f>
        <x:v>2</x:v>
      </x:c>
      <x:c r="H81" s="11" t="str">
        <x:v>DN_NS001_001</x:v>
      </x:c>
      <x:c r="I81" s="11" t="str">
        <x:v>UNKNOWN; Pin1/EP原生库待核</x:v>
      </x:c>
      <x:c r="J81" s="11" t="str">
        <x:v>LOGIC/12V_DOMAIN_REVIEW</x:v>
      </x:c>
      <x:c r="K81" s="11" t="str">
        <x:v>UNKNOWN</x:v>
      </x:c>
      <x:c r="L81" s="11" t="str">
        <x:v>LOCAL12V / 5V / 3V3</x:v>
      </x:c>
      <x:c r="M81" s="11" t="str">
        <x:v>Current user GateC3/D1</x:v>
      </x:c>
      <x:c r="N81" s="11" t="str">
        <x:v>授权渠道待选；不默认替代</x:v>
      </x:c>
      <x:c r="O81" s="11" t="str">
        <x:v>UNKNOWN_VERIFY</x:v>
      </x:c>
      <x:c r="P81" s="11" t="str">
        <x:v>2026-10-11</x:v>
      </x:c>
      <x:c r="Q81" s="11" t="str">
        <x:v>INHERITED_CANDIDATE_REQUIRES_NATIVE_PIN_REVIEW</x:v>
      </x:c>
      <x:c r="R81" s="11" t="str">
        <x:v>User v5 scope; no procurement permission</x:v>
      </x:c>
      <x:c r="S81" s="11" t="str">
        <x:v>Power-loss/cable/unpowered/clock-stop physical injection required</x:v>
      </x:c>
      <x:c r="T81" s="11" t="str">
        <x:v>UNKNOWN</x:v>
      </x:c>
      <x:c r="U81" s="11" t="str">
        <x:v>背面电子件 / 正面TX RX</x:v>
      </x:c>
      <x:c r="V81" s="11" t="str">
        <x:v>HOLD</x:v>
      </x:c>
    </x:row>
    <x:row r="82" ht="64" customHeight="1">
      <x:c r="A82" s="11" t="str">
        <x:v>NS-002</x:v>
      </x:c>
      <x:c r="B82" s="11" t="str">
        <x:v>Independent thermal comparator and threshold network</x:v>
      </x:c>
      <x:c r="C82" s="11" t="str">
        <x:v>PART_SELECTION_HOLD</x:v>
      </x:c>
      <x:c r="D82" s="11" t="str">
        <x:v>UNKNOWN_VERIFY</x:v>
      </x:c>
      <x:c r="E82" s="13" t="n">
        <x:v>0</x:v>
      </x:c>
      <x:c r="F82" s="14" t="n">
        <x:v>0.1</x:v>
      </x:c>
      <x:c r="G82" s="13" t="n">
        <x:f>ROUNDUP(E82*(1+F82),0)</x:f>
        <x:v>0</x:v>
      </x:c>
      <x:c r="H82" s="11" t="str"/>
      <x:c r="I82" s="11" t="str">
        <x:v>UNKNOWN; Pin1/EP原生库待核</x:v>
      </x:c>
      <x:c r="J82" s="11" t="str">
        <x:v>LOGIC/12V_DOMAIN_REVIEW</x:v>
      </x:c>
      <x:c r="K82" s="11" t="str">
        <x:v>UNKNOWN</x:v>
      </x:c>
      <x:c r="L82" s="11" t="str">
        <x:v>LOCAL12V / 5V / 3V3</x:v>
      </x:c>
      <x:c r="M82" s="11" t="str">
        <x:v>Current user GateC3/D1</x:v>
      </x:c>
      <x:c r="N82" s="11" t="str">
        <x:v>授权渠道待选；不默认替代</x:v>
      </x:c>
      <x:c r="O82" s="11" t="str">
        <x:v>UNKNOWN_VERIFY</x:v>
      </x:c>
      <x:c r="P82" s="11" t="str">
        <x:v>2026-10-11</x:v>
      </x:c>
      <x:c r="Q82" s="11" t="str">
        <x:v>INHERITED_CANDIDATE_REQUIRES_NATIVE_PIN_REVIEW</x:v>
      </x:c>
      <x:c r="R82" s="11" t="str">
        <x:v>User v5 scope; no procurement permission</x:v>
      </x:c>
      <x:c r="S82" s="11" t="str">
        <x:v>SUPERSEDED_OR_OPTIONAL_DNP: see new H entries; not installed twice</x:v>
      </x:c>
      <x:c r="T82" s="11" t="str">
        <x:v>UNKNOWN</x:v>
      </x:c>
      <x:c r="U82" s="11" t="str">
        <x:v>背面电子件 / 正面TX RX</x:v>
      </x:c>
      <x:c r="V82" s="11" t="str">
        <x:v>HOLD</x:v>
      </x:c>
    </x:row>
    <x:row r="83" ht="64" customHeight="1">
      <x:c r="A83" s="11" t="str">
        <x:v>NS-003</x:v>
      </x:c>
      <x:c r="B83" s="11" t="str">
        <x:v>Cold-start/rearm latch and power-good AND cutoff controller</x:v>
      </x:c>
      <x:c r="C83" s="11" t="str">
        <x:v>PART_SELECTION_HOLD</x:v>
      </x:c>
      <x:c r="D83" s="11" t="str">
        <x:v>UNKNOWN_VERIFY</x:v>
      </x:c>
      <x:c r="E83" s="13" t="n">
        <x:v>0</x:v>
      </x:c>
      <x:c r="F83" s="14" t="n">
        <x:v>0.1</x:v>
      </x:c>
      <x:c r="G83" s="13" t="n">
        <x:f>ROUNDUP(E83*(1+F83),0)</x:f>
        <x:v>0</x:v>
      </x:c>
      <x:c r="H83" s="11" t="str"/>
      <x:c r="I83" s="11" t="str">
        <x:v>UNKNOWN; Pin1/EP原生库待核</x:v>
      </x:c>
      <x:c r="J83" s="11" t="str">
        <x:v>LOGIC/12V_DOMAIN_REVIEW</x:v>
      </x:c>
      <x:c r="K83" s="11" t="str">
        <x:v>UNKNOWN</x:v>
      </x:c>
      <x:c r="L83" s="11" t="str">
        <x:v>LOCAL12V / 5V / 3V3</x:v>
      </x:c>
      <x:c r="M83" s="11" t="str">
        <x:v>Current user GateC3/D1</x:v>
      </x:c>
      <x:c r="N83" s="11" t="str">
        <x:v>授权渠道待选；不默认替代</x:v>
      </x:c>
      <x:c r="O83" s="11" t="str">
        <x:v>UNKNOWN_VERIFY</x:v>
      </x:c>
      <x:c r="P83" s="11" t="str">
        <x:v>2026-10-11</x:v>
      </x:c>
      <x:c r="Q83" s="11" t="str">
        <x:v>INHERITED_CANDIDATE_REQUIRES_NATIVE_PIN_REVIEW</x:v>
      </x:c>
      <x:c r="R83" s="11" t="str">
        <x:v>User v5 scope; no procurement permission</x:v>
      </x:c>
      <x:c r="S83" s="11" t="str">
        <x:v>SUPERSEDED_OR_OPTIONAL_DNP: see new H entries; not installed twice</x:v>
      </x:c>
      <x:c r="T83" s="11" t="str">
        <x:v>UNKNOWN</x:v>
      </x:c>
      <x:c r="U83" s="11" t="str">
        <x:v>背面电子件 / 正面TX RX</x:v>
      </x:c>
      <x:c r="V83" s="11" t="str">
        <x:v>HOLD</x:v>
      </x:c>
    </x:row>
    <x:row r="84" ht="64" customHeight="1">
      <x:c r="A84" s="11" t="str">
        <x:v>NS-004</x:v>
      </x:c>
      <x:c r="B84" s="11" t="str">
        <x:v>Driver rail discharge/bleed and reset default-off network</x:v>
      </x:c>
      <x:c r="C84" s="11" t="str">
        <x:v>PART_SELECTION_HOLD</x:v>
      </x:c>
      <x:c r="D84" s="11" t="str">
        <x:v>UNKNOWN_VERIFY</x:v>
      </x:c>
      <x:c r="E84" s="13" t="n">
        <x:v>1</x:v>
      </x:c>
      <x:c r="F84" s="14" t="n">
        <x:v>0.1</x:v>
      </x:c>
      <x:c r="G84" s="13" t="n">
        <x:f>ROUNDUP(E84*(1+F84),0)</x:f>
        <x:v>2</x:v>
      </x:c>
      <x:c r="H84" s="11" t="str">
        <x:v>DN_NS004_001</x:v>
      </x:c>
      <x:c r="I84" s="11" t="str">
        <x:v>UNKNOWN; Pin1/EP原生库待核</x:v>
      </x:c>
      <x:c r="J84" s="11" t="str">
        <x:v>LOGIC/12V_DOMAIN_REVIEW</x:v>
      </x:c>
      <x:c r="K84" s="11" t="str">
        <x:v>UNKNOWN</x:v>
      </x:c>
      <x:c r="L84" s="11" t="str">
        <x:v>LOCAL12V / 5V / 3V3</x:v>
      </x:c>
      <x:c r="M84" s="11" t="str">
        <x:v>Current user GateC3/D1</x:v>
      </x:c>
      <x:c r="N84" s="11" t="str">
        <x:v>授权渠道待选；不默认替代</x:v>
      </x:c>
      <x:c r="O84" s="11" t="str">
        <x:v>UNKNOWN_VERIFY</x:v>
      </x:c>
      <x:c r="P84" s="11" t="str">
        <x:v>2026-10-11</x:v>
      </x:c>
      <x:c r="Q84" s="11" t="str">
        <x:v>INHERITED_CANDIDATE_REQUIRES_NATIVE_PIN_REVIEW</x:v>
      </x:c>
      <x:c r="R84" s="11" t="str">
        <x:v>User v5 scope; no procurement permission</x:v>
      </x:c>
      <x:c r="S84" s="11" t="str">
        <x:v>Power-loss/cable/unpowered/clock-stop physical injection required</x:v>
      </x:c>
      <x:c r="T84" s="11" t="str">
        <x:v>UNKNOWN</x:v>
      </x:c>
      <x:c r="U84" s="11" t="str">
        <x:v>背面电子件 / 正面TX RX</x:v>
      </x:c>
      <x:c r="V84" s="11" t="str">
        <x:v>HOLD</x:v>
      </x:c>
    </x:row>
    <x:row r="85" ht="64" customHeight="1">
      <x:c r="A85" s="11" t="str">
        <x:v>H-001</x:v>
      </x:c>
      <x:c r="B85" s="11" t="str">
        <x:v>中央 Type-C 5V Sink</x:v>
      </x:c>
      <x:c r="C85" s="11" t="str">
        <x:v>STUSB4500LQTR</x:v>
      </x:c>
      <x:c r="D85" s="11" t="str">
        <x:v>STMicroelectronics</x:v>
      </x:c>
      <x:c r="E85" s="13" t="n">
        <x:v>0</x:v>
      </x:c>
      <x:c r="F85" s="14" t="n">
        <x:v>0.1</x:v>
      </x:c>
      <x:c r="G85" s="13" t="n">
        <x:f>ROUNDUP(E85*(1+F85),0)</x:f>
        <x:v>0</x:v>
      </x:c>
      <x:c r="H85" s="11" t="str"/>
      <x:c r="I85" s="11" t="str">
        <x:v>QFN24_EP_VERIFY; Pin1/EP原生库待核</x:v>
      </x:c>
      <x:c r="J85" s="11" t="str">
        <x:v>SEE_POWER_DOMAIN_CONTRACT</x:v>
      </x:c>
      <x:c r="K85" s="11" t="str">
        <x:v>UNKNOWN</x:v>
      </x:c>
      <x:c r="L85" s="11" t="str">
        <x:v>LOCAL12V / 5V / 3V3</x:v>
      </x:c>
      <x:c r="M85" s="11" t="str">
        <x:v>https://www.st.com/resource/en/datasheet/stusb4500l.pdf</x:v>
      </x:c>
      <x:c r="N85" s="11" t="str">
        <x:v>授权渠道待选；不默认替代</x:v>
      </x:c>
      <x:c r="O85" s="11" t="str">
        <x:v>SEE_SOURCE_REGISTER</x:v>
      </x:c>
      <x:c r="P85" s="11" t="str">
        <x:v>2026-10-11</x:v>
      </x:c>
      <x:c r="Q85" s="11" t="str">
        <x:v>CANDIDATE</x:v>
      </x:c>
      <x:c r="R85" s="11" t="str">
        <x:v>User hardware design direction, electrical release pending</x:v>
      </x:c>
      <x:c r="S85" s="11" t="str">
        <x:v>CC default/1.5A/3A detection and load inhibit required</x:v>
      </x:c>
      <x:c r="T85" s="11" t="str">
        <x:v>UNKNOWN</x:v>
      </x:c>
      <x:c r="U85" s="11" t="str">
        <x:v>背面电子件 / 正面TX RX</x:v>
      </x:c>
      <x:c r="V85" s="11" t="str">
        <x:v>HOLD</x:v>
      </x:c>
    </x:row>
    <x:row r="86" ht="64" customHeight="1">
      <x:c r="A86" s="11" t="str">
        <x:v>H-002</x:v>
      </x:c>
      <x:c r="B86" s="11" t="str">
        <x:v>中央 Type-C 电源插座</x:v>
      </x:c>
      <x:c r="C86" s="11" t="str">
        <x:v>TYPE_C_RECEPTACLE_MPN_TBD</x:v>
      </x:c>
      <x:c r="D86" s="11" t="str">
        <x:v>UNKNOWN_VERIFY</x:v>
      </x:c>
      <x:c r="E86" s="13" t="n">
        <x:v>0</x:v>
      </x:c>
      <x:c r="F86" s="14" t="n">
        <x:v>0.1</x:v>
      </x:c>
      <x:c r="G86" s="13" t="n">
        <x:f>ROUNDUP(E86*(1+F86),0)</x:f>
        <x:v>0</x:v>
      </x:c>
      <x:c r="H86" s="11" t="str"/>
      <x:c r="I86" s="11" t="str">
        <x:v>NATIVE_FOOTPRINT_TBD; Pin1/EP原生库待核</x:v>
      </x:c>
      <x:c r="J86" s="11" t="str">
        <x:v>SEE_POWER_DOMAIN_CONTRACT</x:v>
      </x:c>
      <x:c r="K86" s="11" t="str">
        <x:v>UNKNOWN</x:v>
      </x:c>
      <x:c r="L86" s="11" t="str">
        <x:v>LOCAL12V / 5V / 3V3</x:v>
      </x:c>
      <x:c r="M86" s="11" t="str">
        <x:v>CANDIDATE</x:v>
      </x:c>
      <x:c r="N86" s="11" t="str">
        <x:v>授权渠道待选；不默认替代</x:v>
      </x:c>
      <x:c r="O86" s="11" t="str">
        <x:v>SEE_SOURCE_REGISTER</x:v>
      </x:c>
      <x:c r="P86" s="11" t="str">
        <x:v>2026-10-11</x:v>
      </x:c>
      <x:c r="Q86" s="11" t="str">
        <x:v>CANDIDATE</x:v>
      </x:c>
      <x:c r="R86" s="11" t="str">
        <x:v>User hardware design direction, electrical release pending</x:v>
      </x:c>
      <x:c r="S86" s="11" t="str">
        <x:v>Pin/native library/electrical review required</x:v>
      </x:c>
      <x:c r="T86" s="11" t="str">
        <x:v>UNKNOWN</x:v>
      </x:c>
      <x:c r="U86" s="11" t="str">
        <x:v>背面电子件 / 正面TX RX</x:v>
      </x:c>
      <x:c r="V86" s="11" t="str">
        <x:v>HOLD</x:v>
      </x:c>
    </x:row>
    <x:row r="87" ht="64" customHeight="1">
      <x:c r="A87" s="11" t="str">
        <x:v>H-003</x:v>
      </x:c>
      <x:c r="B87" s="11" t="str">
        <x:v>阵列 DC5.5x2.5 插座</x:v>
      </x:c>
      <x:c r="C87" s="11" t="str">
        <x:v>PJ-002BH</x:v>
      </x:c>
      <x:c r="D87" s="11" t="str">
        <x:v>Same Sky</x:v>
      </x:c>
      <x:c r="E87" s="13" t="n">
        <x:v>1</x:v>
      </x:c>
      <x:c r="F87" s="14" t="n">
        <x:v>0.1</x:v>
      </x:c>
      <x:c r="G87" s="13" t="n">
        <x:f>ROUNDUP(E87*(1+F87),0)</x:f>
        <x:v>2</x:v>
      </x:c>
      <x:c r="H87" s="11" t="str">
        <x:v>DN_H003_001</x:v>
      </x:c>
      <x:c r="I87" s="11" t="str">
        <x:v>THT3_SWITCH_CONTACT; Pin1/EP原生库待核</x:v>
      </x:c>
      <x:c r="J87" s="11" t="str">
        <x:v>SEE_POWER_DOMAIN_CONTRACT</x:v>
      </x:c>
      <x:c r="K87" s="11" t="str">
        <x:v>UNKNOWN</x:v>
      </x:c>
      <x:c r="L87" s="11" t="str">
        <x:v>LOCAL12V / 5V / 3V3</x:v>
      </x:c>
      <x:c r="M87" s="11" t="str">
        <x:v>https://www.sameskydevices.com/product/resource/pj-002bh.pdf</x:v>
      </x:c>
      <x:c r="N87" s="11" t="str">
        <x:v>授权渠道待选；不默认替代</x:v>
      </x:c>
      <x:c r="O87" s="11" t="str">
        <x:v>SEE_SOURCE_REGISTER</x:v>
      </x:c>
      <x:c r="P87" s="11" t="str">
        <x:v>2026-10-11</x:v>
      </x:c>
      <x:c r="Q87" s="11" t="str">
        <x:v>CANDIDATE</x:v>
      </x:c>
      <x:c r="R87" s="11" t="str">
        <x:v>User hardware design direction, electrical release pending</x:v>
      </x:c>
      <x:c r="S87" s="11" t="str">
        <x:v>5A nominal/30mohm; switch lug not independent source; temperature derating HOLD</x:v>
      </x:c>
      <x:c r="T87" s="11" t="str">
        <x:v>UNKNOWN</x:v>
      </x:c>
      <x:c r="U87" s="11" t="str">
        <x:v>背面电子件 / 正面TX RX</x:v>
      </x:c>
      <x:c r="V87" s="11" t="str">
        <x:v>HOLD</x:v>
      </x:c>
    </x:row>
    <x:row r="88" ht="64" customHeight="1">
      <x:c r="A88" s="11" t="str">
        <x:v>H-004</x:v>
      </x:c>
      <x:c r="B88" s="11" t="str">
        <x:v>阵列 eFuse</x:v>
      </x:c>
      <x:c r="C88" s="11" t="str">
        <x:v>TPS26631RGER</x:v>
      </x:c>
      <x:c r="D88" s="11" t="str">
        <x:v>Texas Instruments</x:v>
      </x:c>
      <x:c r="E88" s="13" t="n">
        <x:v>1</x:v>
      </x:c>
      <x:c r="F88" s="14" t="n">
        <x:v>0.1</x:v>
      </x:c>
      <x:c r="G88" s="13" t="n">
        <x:f>ROUNDUP(E88*(1+F88),0)</x:f>
        <x:v>2</x:v>
      </x:c>
      <x:c r="H88" s="11" t="str">
        <x:v>DN_H004_001</x:v>
      </x:c>
      <x:c r="I88" s="11" t="str">
        <x:v>VQFN24_RGE_EP; Pin1/EP原生库待核</x:v>
      </x:c>
      <x:c r="J88" s="11" t="str">
        <x:v>SEE_POWER_DOMAIN_CONTRACT</x:v>
      </x:c>
      <x:c r="K88" s="11" t="str">
        <x:v>UNKNOWN</x:v>
      </x:c>
      <x:c r="L88" s="11" t="str">
        <x:v>LOCAL12V / 5V / 3V3</x:v>
      </x:c>
      <x:c r="M88" s="11" t="str">
        <x:v>https://www.ti.com/lit/ds/symlink/tps2663.pdf</x:v>
      </x:c>
      <x:c r="N88" s="11" t="str">
        <x:v>授权渠道待选；不默认替代</x:v>
      </x:c>
      <x:c r="O88" s="11" t="str">
        <x:v>SEE_SOURCE_REGISTER</x:v>
      </x:c>
      <x:c r="P88" s="11" t="str">
        <x:v>2026-10-11</x:v>
      </x:c>
      <x:c r="Q88" s="11" t="str">
        <x:v>CANDIDATE</x:v>
      </x:c>
      <x:c r="R88" s="11" t="str">
        <x:v>User hardware design direction, electrical release pending</x:v>
      </x:c>
      <x:c r="S88" s="11" t="str">
        <x:v>2x pulse support; RILIM/UVLO/OVP/fuse coordination HOLD, not automatic5A setting</x:v>
      </x:c>
      <x:c r="T88" s="11" t="str">
        <x:v>UNKNOWN</x:v>
      </x:c>
      <x:c r="U88" s="11" t="str">
        <x:v>背面电子件 / 正面TX RX</x:v>
      </x:c>
      <x:c r="V88" s="11" t="str">
        <x:v>HOLD</x:v>
      </x:c>
    </x:row>
    <x:row r="89" ht="64" customHeight="1">
      <x:c r="A89" s="11" t="str">
        <x:v>H-005</x:v>
      </x:c>
      <x:c r="B89" s="11" t="str">
        <x:v>中央 I2C 3域选择</x:v>
      </x:c>
      <x:c r="C89" s="11" t="str">
        <x:v>TCA9548APWR</x:v>
      </x:c>
      <x:c r="D89" s="11" t="str">
        <x:v>Texas Instruments</x:v>
      </x:c>
      <x:c r="E89" s="13" t="n">
        <x:v>0</x:v>
      </x:c>
      <x:c r="F89" s="14" t="n">
        <x:v>0.1</x:v>
      </x:c>
      <x:c r="G89" s="13" t="n">
        <x:f>ROUNDUP(E89*(1+F89),0)</x:f>
        <x:v>0</x:v>
      </x:c>
      <x:c r="H89" s="11" t="str"/>
      <x:c r="I89" s="11" t="str">
        <x:v>TSSOP24_PW; Pin1/EP原生库待核</x:v>
      </x:c>
      <x:c r="J89" s="11" t="str">
        <x:v>SEE_POWER_DOMAIN_CONTRACT</x:v>
      </x:c>
      <x:c r="K89" s="11" t="str">
        <x:v>UNKNOWN</x:v>
      </x:c>
      <x:c r="L89" s="11" t="str">
        <x:v>LOCAL12V / 5V / 3V3</x:v>
      </x:c>
      <x:c r="M89" s="11" t="str">
        <x:v>https://www.ti.com/lit/ds/symlink/tca9548a.pdf</x:v>
      </x:c>
      <x:c r="N89" s="11" t="str">
        <x:v>授权渠道待选；不默认替代</x:v>
      </x:c>
      <x:c r="O89" s="11" t="str">
        <x:v>SEE_SOURCE_REGISTER</x:v>
      </x:c>
      <x:c r="P89" s="11" t="str">
        <x:v>2026-10-11</x:v>
      </x:c>
      <x:c r="Q89" s="11" t="str">
        <x:v>CANDIDATE</x:v>
      </x:c>
      <x:c r="R89" s="11" t="str">
        <x:v>User hardware design direction, electrical release pending</x:v>
      </x:c>
      <x:c r="S89" s="11" t="str">
        <x:v>Independent RESET still required for selected stuck-low branch</x:v>
      </x:c>
      <x:c r="T89" s="11" t="str">
        <x:v>UNKNOWN</x:v>
      </x:c>
      <x:c r="U89" s="11" t="str">
        <x:v>背面电子件 / 正面TX RX</x:v>
      </x:c>
      <x:c r="V89" s="11" t="str">
        <x:v>HOLD</x:v>
      </x:c>
    </x:row>
    <x:row r="90" ht="64" customHeight="1">
      <x:c r="A90" s="11" t="str">
        <x:v>H-006</x:v>
      </x:c>
      <x:c r="B90" s="11" t="str">
        <x:v>已有B021覆盖三颗，无重复装配</x:v>
      </x:c>
      <x:c r="C90" s="11" t="str">
        <x:v>INA226AIDGSR</x:v>
      </x:c>
      <x:c r="D90" s="11" t="str">
        <x:v>Texas Instruments</x:v>
      </x:c>
      <x:c r="E90" s="13" t="n">
        <x:v>0</x:v>
      </x:c>
      <x:c r="F90" s="14" t="n">
        <x:v>0.1</x:v>
      </x:c>
      <x:c r="G90" s="13" t="n">
        <x:f>ROUNDUP(E90*(1+F90),0)</x:f>
        <x:v>0</x:v>
      </x:c>
      <x:c r="H90" s="11" t="str"/>
      <x:c r="I90" s="11" t="str">
        <x:v>VSSOP10_DGS; Pin1/EP原生库待核</x:v>
      </x:c>
      <x:c r="J90" s="11" t="str">
        <x:v>SEE_POWER_DOMAIN_CONTRACT</x:v>
      </x:c>
      <x:c r="K90" s="11" t="str">
        <x:v>UNKNOWN</x:v>
      </x:c>
      <x:c r="L90" s="11" t="str">
        <x:v>LOCAL12V / 5V / 3V3</x:v>
      </x:c>
      <x:c r="M90" s="11" t="str">
        <x:v>https://www.ti.com/lit/ds/symlink/ina226.pdf</x:v>
      </x:c>
      <x:c r="N90" s="11" t="str">
        <x:v>授权渠道待选；不默认替代</x:v>
      </x:c>
      <x:c r="O90" s="11" t="str">
        <x:v>SEE_SOURCE_REGISTER</x:v>
      </x:c>
      <x:c r="P90" s="11" t="str">
        <x:v>2026-10-11</x:v>
      </x:c>
      <x:c r="Q90" s="11" t="str">
        <x:v>CANDIDATE</x:v>
      </x:c>
      <x:c r="R90" s="11" t="str">
        <x:v>User hardware design direction, electrical release pending</x:v>
      </x:c>
      <x:c r="S90" s="11" t="str">
        <x:v>Pin/native library/electrical review required</x:v>
      </x:c>
      <x:c r="T90" s="11" t="str">
        <x:v>UNKNOWN</x:v>
      </x:c>
      <x:c r="U90" s="11" t="str">
        <x:v>背面电子件 / 正面TX RX</x:v>
      </x:c>
      <x:c r="V90" s="11" t="str">
        <x:v>HOLD</x:v>
      </x:c>
    </x:row>
    <x:row r="91" ht="64" customHeight="1">
      <x:c r="A91" s="11" t="str">
        <x:v>H-007</x:v>
      </x:c>
      <x:c r="B91" s="11" t="str">
        <x:v>被拒绝的标准看门狗备选DNP</x:v>
      </x:c>
      <x:c r="C91" s="11" t="str">
        <x:v>TPS3431SDRBR</x:v>
      </x:c>
      <x:c r="D91" s="11" t="str">
        <x:v>Texas Instruments</x:v>
      </x:c>
      <x:c r="E91" s="13" t="n">
        <x:v>0</x:v>
      </x:c>
      <x:c r="F91" s="14" t="n">
        <x:v>0.1</x:v>
      </x:c>
      <x:c r="G91" s="13" t="n">
        <x:f>ROUNDUP(E91*(1+F91),0)</x:f>
        <x:v>0</x:v>
      </x:c>
      <x:c r="H91" s="11" t="str"/>
      <x:c r="I91" s="11" t="str">
        <x:v>VSON8_DRB_EP; Pin1/EP原生库待核</x:v>
      </x:c>
      <x:c r="J91" s="11" t="str">
        <x:v>SEE_POWER_DOMAIN_CONTRACT</x:v>
      </x:c>
      <x:c r="K91" s="11" t="str">
        <x:v>UNKNOWN</x:v>
      </x:c>
      <x:c r="L91" s="11" t="str">
        <x:v>LOCAL12V / 5V / 3V3</x:v>
      </x:c>
      <x:c r="M91" s="11" t="str">
        <x:v>https://www.ti.com/lit/ds/symlink/tps3431.pdf</x:v>
      </x:c>
      <x:c r="N91" s="11" t="str">
        <x:v>授权渠道待选；不默认替代</x:v>
      </x:c>
      <x:c r="O91" s="11" t="str">
        <x:v>SEE_SOURCE_REGISTER</x:v>
      </x:c>
      <x:c r="P91" s="11" t="str">
        <x:v>2026-10-11</x:v>
      </x:c>
      <x:c r="Q91" s="11" t="str">
        <x:v>CANDIDATE</x:v>
      </x:c>
      <x:c r="R91" s="11" t="str">
        <x:v>User hardware design direction, electrical release pending</x:v>
      </x:c>
      <x:c r="S91" s="11" t="str">
        <x:v>STANDARD watchdog; not a window watchdog. Retain window requirement and B009 pending qualification</x:v>
      </x:c>
      <x:c r="T91" s="11" t="str">
        <x:v>UNKNOWN</x:v>
      </x:c>
      <x:c r="U91" s="11" t="str">
        <x:v>背面电子件 / 正面TX RX</x:v>
      </x:c>
      <x:c r="V91" s="11" t="str">
        <x:v>HOLD</x:v>
      </x:c>
    </x:row>
    <x:row r="92" ht="64" customHeight="1">
      <x:c r="A92" s="11" t="str">
        <x:v>H-008</x:v>
      </x:c>
      <x:c r="B92" s="11" t="str">
        <x:v>B027/B028已计两颗Buck，无重复装配</x:v>
      </x:c>
      <x:c r="C92" s="11" t="str">
        <x:v>TPS54202DDCR</x:v>
      </x:c>
      <x:c r="D92" s="11" t="str">
        <x:v>Texas Instruments</x:v>
      </x:c>
      <x:c r="E92" s="13" t="n">
        <x:v>0</x:v>
      </x:c>
      <x:c r="F92" s="14" t="n">
        <x:v>0.1</x:v>
      </x:c>
      <x:c r="G92" s="13" t="n">
        <x:f>ROUNDUP(E92*(1+F92),0)</x:f>
        <x:v>0</x:v>
      </x:c>
      <x:c r="H92" s="11" t="str"/>
      <x:c r="I92" s="11" t="str">
        <x:v>SOT23_6_DDC; Pin1/EP原生库待核</x:v>
      </x:c>
      <x:c r="J92" s="11" t="str">
        <x:v>SEE_POWER_DOMAIN_CONTRACT</x:v>
      </x:c>
      <x:c r="K92" s="11" t="str">
        <x:v>UNKNOWN</x:v>
      </x:c>
      <x:c r="L92" s="11" t="str">
        <x:v>LOCAL12V / 5V / 3V3</x:v>
      </x:c>
      <x:c r="M92" s="11" t="str">
        <x:v>https://www.ti.com/lit/ds/symlink/tps54202.pdf</x:v>
      </x:c>
      <x:c r="N92" s="11" t="str">
        <x:v>授权渠道待选；不默认替代</x:v>
      </x:c>
      <x:c r="O92" s="11" t="str">
        <x:v>SEE_SOURCE_REGISTER</x:v>
      </x:c>
      <x:c r="P92" s="11" t="str">
        <x:v>2026-10-11</x:v>
      </x:c>
      <x:c r="Q92" s="11" t="str">
        <x:v>CANDIDATE</x:v>
      </x:c>
      <x:c r="R92" s="11" t="str">
        <x:v>User hardware design direction, electrical release pending</x:v>
      </x:c>
      <x:c r="S92" s="11" t="str">
        <x:v>B027/B028 independent buck rails; not central5V LDO</x:v>
      </x:c>
      <x:c r="T92" s="11" t="str">
        <x:v>UNKNOWN</x:v>
      </x:c>
      <x:c r="U92" s="11" t="str">
        <x:v>背面电子件 / 正面TX RX</x:v>
      </x:c>
      <x:c r="V92" s="11" t="str">
        <x:v>HOLD</x:v>
      </x:c>
    </x:row>
    <x:row r="93" ht="64" customHeight="1">
      <x:c r="A93" s="11" t="str">
        <x:v>H-009</x:v>
      </x:c>
      <x:c r="B93" s="11" t="str">
        <x:v>默认OFF TX电源切断及反灌阻断</x:v>
      </x:c>
      <x:c r="C93" s="11" t="str">
        <x:v>BACK_TO_BACK_FET_AND_DRIVER_TBD</x:v>
      </x:c>
      <x:c r="D93" s="11" t="str">
        <x:v>UNKNOWN_VERIFY</x:v>
      </x:c>
      <x:c r="E93" s="13" t="n">
        <x:v>1</x:v>
      </x:c>
      <x:c r="F93" s="14" t="n">
        <x:v>0.1</x:v>
      </x:c>
      <x:c r="G93" s="13" t="n">
        <x:f>ROUNDUP(E93*(1+F93),0)</x:f>
        <x:v>2</x:v>
      </x:c>
      <x:c r="H93" s="11" t="str">
        <x:v>DN_H009_001</x:v>
      </x:c>
      <x:c r="I93" s="11" t="str">
        <x:v>PIN_REVIEW_TBD; Pin1/EP原生库待核</x:v>
      </x:c>
      <x:c r="J93" s="11" t="str">
        <x:v>SEE_POWER_DOMAIN_CONTRACT</x:v>
      </x:c>
      <x:c r="K93" s="11" t="str">
        <x:v>UNKNOWN</x:v>
      </x:c>
      <x:c r="L93" s="11" t="str">
        <x:v>LOCAL12V / 5V / 3V3</x:v>
      </x:c>
      <x:c r="M93" s="11" t="str">
        <x:v>CANDIDATE_ENGINEERING_REQUIREMENT</x:v>
      </x:c>
      <x:c r="N93" s="11" t="str">
        <x:v>授权渠道待选；不默认替代</x:v>
      </x:c>
      <x:c r="O93" s="11" t="str">
        <x:v>SEE_SOURCE_REGISTER</x:v>
      </x:c>
      <x:c r="P93" s="11" t="str">
        <x:v>2026-10-11</x:v>
      </x:c>
      <x:c r="Q93" s="11" t="str">
        <x:v>CANDIDATE</x:v>
      </x:c>
      <x:c r="R93" s="11" t="str">
        <x:v>User hardware design direction, electrical release pending</x:v>
      </x:c>
      <x:c r="S93" s="11" t="str">
        <x:v>Independent of PL; gate pulldown and power-off paths required</x:v>
      </x:c>
      <x:c r="T93" s="11" t="str">
        <x:v>UNKNOWN</x:v>
      </x:c>
      <x:c r="U93" s="11" t="str">
        <x:v>背面电子件 / 正面TX RX</x:v>
      </x:c>
      <x:c r="V93" s="11" t="str">
        <x:v>HOLD</x:v>
      </x:c>
    </x:row>
    <x:row r="94" ht="64" customHeight="1">
      <x:c r="A94" s="11" t="str">
        <x:v>H-010</x:v>
      </x:c>
      <x:c r="B94" s="11" t="str">
        <x:v>阵列协调保护组</x:v>
      </x:c>
      <x:c r="C94" s="11" t="str">
        <x:v>TVS_FUSE_SET_TBD</x:v>
      </x:c>
      <x:c r="D94" s="11" t="str">
        <x:v>UNKNOWN_VERIFY</x:v>
      </x:c>
      <x:c r="E94" s="13" t="n">
        <x:v>1</x:v>
      </x:c>
      <x:c r="F94" s="14" t="n">
        <x:v>0.1</x:v>
      </x:c>
      <x:c r="G94" s="13" t="n">
        <x:f>ROUNDUP(E94*(1+F94),0)</x:f>
        <x:v>2</x:v>
      </x:c>
      <x:c r="H94" s="11" t="str">
        <x:v>DN_H010_001</x:v>
      </x:c>
      <x:c r="I94" s="11" t="str">
        <x:v>VALUES_TBD; Pin1/EP原生库待核</x:v>
      </x:c>
      <x:c r="J94" s="11" t="str">
        <x:v>SEE_POWER_DOMAIN_CONTRACT</x:v>
      </x:c>
      <x:c r="K94" s="11" t="str">
        <x:v>UNKNOWN</x:v>
      </x:c>
      <x:c r="L94" s="11" t="str">
        <x:v>LOCAL12V / 5V / 3V3</x:v>
      </x:c>
      <x:c r="M94" s="11" t="str">
        <x:v>CANDIDATE_ENGINEERING_REQUIREMENT</x:v>
      </x:c>
      <x:c r="N94" s="11" t="str">
        <x:v>授权渠道待选；不默认替代</x:v>
      </x:c>
      <x:c r="O94" s="11" t="str">
        <x:v>SEE_SOURCE_REGISTER</x:v>
      </x:c>
      <x:c r="P94" s="11" t="str">
        <x:v>2026-10-11</x:v>
      </x:c>
      <x:c r="Q94" s="11" t="str">
        <x:v>CANDIDATE</x:v>
      </x:c>
      <x:c r="R94" s="11" t="str">
        <x:v>User hardware design direction, electrical release pending</x:v>
      </x:c>
      <x:c r="S94" s="11" t="str">
        <x:v>No SMBJ20A assumption; eFuse67V and driver18V transient envelope separate</x:v>
      </x:c>
      <x:c r="T94" s="11" t="str">
        <x:v>UNKNOWN</x:v>
      </x:c>
      <x:c r="U94" s="11" t="str">
        <x:v>背面电子件 / 正面TX RX</x:v>
      </x:c>
      <x:c r="V94" s="11" t="str">
        <x:v>HOLD</x:v>
      </x:c>
    </x:row>
    <x:row r="95" ht="64" customHeight="1">
      <x:c r="A95" s="11" t="str">
        <x:v>H-011</x:v>
      </x:c>
      <x:c r="B95" s="11" t="str">
        <x:v>硬件过温及人工重启锁存</x:v>
      </x:c>
      <x:c r="C95" s="11" t="str">
        <x:v>HOTSPOT_COMPARATOR_LATCH_REARM_TBD</x:v>
      </x:c>
      <x:c r="D95" s="11" t="str">
        <x:v>UNKNOWN_VERIFY</x:v>
      </x:c>
      <x:c r="E95" s="13" t="n">
        <x:v>1</x:v>
      </x:c>
      <x:c r="F95" s="14" t="n">
        <x:v>0.1</x:v>
      </x:c>
      <x:c r="G95" s="13" t="n">
        <x:f>ROUNDUP(E95*(1+F95),0)</x:f>
        <x:v>2</x:v>
      </x:c>
      <x:c r="H95" s="11" t="str">
        <x:v>DN_H011_001</x:v>
      </x:c>
      <x:c r="I95" s="11" t="str">
        <x:v>PIN_REVIEW_TBD; Pin1/EP原生库待核</x:v>
      </x:c>
      <x:c r="J95" s="11" t="str">
        <x:v>SEE_POWER_DOMAIN_CONTRACT</x:v>
      </x:c>
      <x:c r="K95" s="11" t="str">
        <x:v>UNKNOWN</x:v>
      </x:c>
      <x:c r="L95" s="11" t="str">
        <x:v>LOCAL12V / 5V / 3V3</x:v>
      </x:c>
      <x:c r="M95" s="11" t="str">
        <x:v>CANDIDATE_ENGINEERING_REQUIREMENT</x:v>
      </x:c>
      <x:c r="N95" s="11" t="str">
        <x:v>授权渠道待选；不默认替代</x:v>
      </x:c>
      <x:c r="O95" s="11" t="str">
        <x:v>SEE_SOURCE_REGISTER</x:v>
      </x:c>
      <x:c r="P95" s="11" t="str">
        <x:v>2026-10-11</x:v>
      </x:c>
      <x:c r="Q95" s="11" t="str">
        <x:v>CANDIDATE</x:v>
      </x:c>
      <x:c r="R95" s="11" t="str">
        <x:v>User hardware design direction, electrical release pending</x:v>
      </x:c>
      <x:c r="S95" s="11" t="str">
        <x:v>TMP117/I2C is not independent hard cutoff</x:v>
      </x:c>
      <x:c r="T95" s="11" t="str">
        <x:v>UNKNOWN</x:v>
      </x:c>
      <x:c r="U95" s="11" t="str">
        <x:v>背面电子件 / 正面TX RX</x:v>
      </x:c>
      <x:c r="V95" s="11" t="str">
        <x:v>HOLD</x:v>
      </x:c>
    </x:row>
    <x:row r="96" ht="64" customHeight="1">
      <x:c r="A96" s="11" t="str">
        <x:v>H-012</x:v>
      </x:c>
      <x:c r="B96" s="11" t="str">
        <x:v>中央5V保护及ADC供电调节</x:v>
      </x:c>
      <x:c r="C96" s="11" t="str">
        <x:v>CENTRAL_USB_EFUSE_BUCKBOOST_TBD</x:v>
      </x:c>
      <x:c r="D96" s="11" t="str">
        <x:v>UNKNOWN_VERIFY</x:v>
      </x:c>
      <x:c r="E96" s="13" t="n">
        <x:v>0</x:v>
      </x:c>
      <x:c r="F96" s="14" t="n">
        <x:v>0.1</x:v>
      </x:c>
      <x:c r="G96" s="13" t="n">
        <x:f>ROUNDUP(E96*(1+F96),0)</x:f>
        <x:v>0</x:v>
      </x:c>
      <x:c r="H96" s="11" t="str"/>
      <x:c r="I96" s="11" t="str">
        <x:v>PIN_REVIEW_TBD; Pin1/EP原生库待核</x:v>
      </x:c>
      <x:c r="J96" s="11" t="str">
        <x:v>SEE_POWER_DOMAIN_CONTRACT</x:v>
      </x:c>
      <x:c r="K96" s="11" t="str">
        <x:v>UNKNOWN</x:v>
      </x:c>
      <x:c r="L96" s="11" t="str">
        <x:v>LOCAL12V / 5V / 3V3</x:v>
      </x:c>
      <x:c r="M96" s="11" t="str">
        <x:v>CANDIDATE_ENGINEERING_REQUIREMENT</x:v>
      </x:c>
      <x:c r="N96" s="11" t="str">
        <x:v>授权渠道待选；不默认替代</x:v>
      </x:c>
      <x:c r="O96" s="11" t="str">
        <x:v>SEE_SOURCE_REGISTER</x:v>
      </x:c>
      <x:c r="P96" s="11" t="str">
        <x:v>2026-10-11</x:v>
      </x:c>
      <x:c r="Q96" s="11" t="str">
        <x:v>CANDIDATE</x:v>
      </x:c>
      <x:c r="R96" s="11" t="str">
        <x:v>User hardware design direction, electrical release pending</x:v>
      </x:c>
      <x:c r="S96" s="11" t="str">
        <x:v>VBUSmin minus cable and switch may violate4.75V ADC AVCC</x:v>
      </x:c>
      <x:c r="T96" s="11" t="str">
        <x:v>UNKNOWN</x:v>
      </x:c>
      <x:c r="U96" s="11" t="str">
        <x:v>背面电子件 / 正面TX RX</x:v>
      </x:c>
      <x:c r="V96" s="11" t="str">
        <x:v>HOLD</x:v>
      </x:c>
    </x:row>
    <x:row r="97" ht="64" customHeight="1">
      <x:c r="A97" s="11" t="str">
        <x:v>H-013</x:v>
      </x:c>
      <x:c r="B97" s="11" t="str">
        <x:v>双侧断电高阻信号缓冲</x:v>
      </x:c>
      <x:c r="C97" s="11" t="str">
        <x:v>IOFF_BUFFER_SET_TBD</x:v>
      </x:c>
      <x:c r="D97" s="11" t="str">
        <x:v>UNKNOWN_VERIFY</x:v>
      </x:c>
      <x:c r="E97" s="13" t="n">
        <x:v>1</x:v>
      </x:c>
      <x:c r="F97" s="14" t="n">
        <x:v>0.1</x:v>
      </x:c>
      <x:c r="G97" s="13" t="n">
        <x:f>ROUNDUP(E97*(1+F97),0)</x:f>
        <x:v>2</x:v>
      </x:c>
      <x:c r="H97" s="11" t="str">
        <x:v>DN_H013_001</x:v>
      </x:c>
      <x:c r="I97" s="11" t="str">
        <x:v>PIN_REVIEW_TBD; Pin1/EP原生库待核</x:v>
      </x:c>
      <x:c r="J97" s="11" t="str">
        <x:v>SEE_POWER_DOMAIN_CONTRACT</x:v>
      </x:c>
      <x:c r="K97" s="11" t="str">
        <x:v>UNKNOWN</x:v>
      </x:c>
      <x:c r="L97" s="11" t="str">
        <x:v>LOCAL12V / 5V / 3V3</x:v>
      </x:c>
      <x:c r="M97" s="11" t="str">
        <x:v>CANDIDATE_ENGINEERING_REQUIREMENT</x:v>
      </x:c>
      <x:c r="N97" s="11" t="str">
        <x:v>授权渠道待选；不默认替代</x:v>
      </x:c>
      <x:c r="O97" s="11" t="str">
        <x:v>SEE_SOURCE_REGISTER</x:v>
      </x:c>
      <x:c r="P97" s="11" t="str">
        <x:v>2026-10-11</x:v>
      </x:c>
      <x:c r="Q97" s="11" t="str">
        <x:v>CANDIDATE</x:v>
      </x:c>
      <x:c r="R97" s="11" t="str">
        <x:v>User hardware design direction, electrical release pending</x:v>
      </x:c>
      <x:c r="S97" s="11" t="str">
        <x:v>Every crossing needs Ioff, OE default-off and ground-return review</x:v>
      </x:c>
      <x:c r="T97" s="11" t="str">
        <x:v>UNKNOWN</x:v>
      </x:c>
      <x:c r="U97" s="11" t="str">
        <x:v>背面电子件 / 正面TX RX</x:v>
      </x:c>
      <x:c r="V97" s="11" t="str">
        <x:v>HOLD</x:v>
      </x:c>
    </x:row>
    <x:row r="98" ht="64" customHeight="1">
      <x:c r="A98" s="11" t="str">
        <x:v>H-014</x:v>
      </x:c>
      <x:c r="B98" s="11" t="str">
        <x:v>外部急停及人工重启，板座见NS001</x:v>
      </x:c>
      <x:c r="C98" s="11" t="str">
        <x:v>NC_ESTOP_MANUAL_REARM_TBD</x:v>
      </x:c>
      <x:c r="D98" s="11" t="str">
        <x:v>UNKNOWN_VERIFY</x:v>
      </x:c>
      <x:c r="E98" s="13" t="n">
        <x:v>0</x:v>
      </x:c>
      <x:c r="F98" s="14" t="n">
        <x:v>0.1</x:v>
      </x:c>
      <x:c r="G98" s="13" t="n">
        <x:f>ROUNDUP(E98*(1+F98),0)</x:f>
        <x:v>0</x:v>
      </x:c>
      <x:c r="H98" s="11" t="str"/>
      <x:c r="I98" s="11" t="str">
        <x:v>KEYED_TBD; Pin1/EP原生库待核</x:v>
      </x:c>
      <x:c r="J98" s="11" t="str">
        <x:v>SEE_POWER_DOMAIN_CONTRACT</x:v>
      </x:c>
      <x:c r="K98" s="11" t="str">
        <x:v>UNKNOWN</x:v>
      </x:c>
      <x:c r="L98" s="11" t="str">
        <x:v>LOCAL12V / 5V / 3V3</x:v>
      </x:c>
      <x:c r="M98" s="11" t="str">
        <x:v>CANDIDATE_ENGINEERING_REQUIREMENT</x:v>
      </x:c>
      <x:c r="N98" s="11" t="str">
        <x:v>授权渠道待选；不默认替代</x:v>
      </x:c>
      <x:c r="O98" s="11" t="str">
        <x:v>SEE_SOURCE_REGISTER</x:v>
      </x:c>
      <x:c r="P98" s="11" t="str">
        <x:v>2026-10-11</x:v>
      </x:c>
      <x:c r="Q98" s="11" t="str">
        <x:v>CANDIDATE</x:v>
      </x:c>
      <x:c r="R98" s="11" t="str">
        <x:v>User hardware design direction, electrical release pending</x:v>
      </x:c>
      <x:c r="S98" s="11" t="str">
        <x:v>Break any wire forces local power-off; fault removal alone cannot restart</x:v>
      </x:c>
      <x:c r="T98" s="11" t="str">
        <x:v>UNKNOWN</x:v>
      </x:c>
      <x:c r="U98" s="11" t="str">
        <x:v>背面电子件 / 正面TX RX</x:v>
      </x:c>
      <x:c r="V98" s="11" t="str">
        <x:v>HOLD</x:v>
      </x:c>
    </x:row>
    <x:row r="99" ht="64" customHeight="1">
      <x:c r="A99" s="11" t="str">
        <x:v>H-015</x:v>
      </x:c>
      <x:c r="B99" s="11" t="str">
        <x:v>八路接收屏蔽线束</x:v>
      </x:c>
      <x:c r="C99" s="11" t="str">
        <x:v>SHIELDED_RX_HARNESS_TBD</x:v>
      </x:c>
      <x:c r="D99" s="11" t="str">
        <x:v>UNKNOWN_VERIFY</x:v>
      </x:c>
      <x:c r="E99" s="13" t="n">
        <x:v>0</x:v>
      </x:c>
      <x:c r="F99" s="14" t="n">
        <x:v>0.1</x:v>
      </x:c>
      <x:c r="G99" s="13" t="n">
        <x:f>ROUNDUP(E99*(1+F99),0)</x:f>
        <x:v>0</x:v>
      </x:c>
      <x:c r="H99" s="11" t="str"/>
      <x:c r="I99" s="11" t="str">
        <x:v>KEYED_TBD; Pin1/EP原生库待核</x:v>
      </x:c>
      <x:c r="J99" s="11" t="str">
        <x:v>SEE_POWER_DOMAIN_CONTRACT</x:v>
      </x:c>
      <x:c r="K99" s="11" t="str">
        <x:v>UNKNOWN</x:v>
      </x:c>
      <x:c r="L99" s="11" t="str">
        <x:v>LOCAL12V / 5V / 3V3</x:v>
      </x:c>
      <x:c r="M99" s="11" t="str">
        <x:v>CANDIDATE_ENGINEERING_REQUIREMENT</x:v>
      </x:c>
      <x:c r="N99" s="11" t="str">
        <x:v>授权渠道待选；不默认替代</x:v>
      </x:c>
      <x:c r="O99" s="11" t="str">
        <x:v>SEE_SOURCE_REGISTER</x:v>
      </x:c>
      <x:c r="P99" s="11" t="str">
        <x:v>2026-10-11</x:v>
      </x:c>
      <x:c r="Q99" s="11" t="str">
        <x:v>CANDIDATE</x:v>
      </x:c>
      <x:c r="R99" s="11" t="str">
        <x:v>User hardware design direction, electrical release pending</x:v>
      </x:c>
      <x:c r="S99" s="11" t="str">
        <x:v>Local AFE outputs; no direct unprotected transducer toADC</x:v>
      </x:c>
      <x:c r="T99" s="11" t="str">
        <x:v>UNKNOWN</x:v>
      </x:c>
      <x:c r="U99" s="11" t="str">
        <x:v>背面电子件 / 正面TX RX</x:v>
      </x:c>
      <x:c r="V99" s="11" t="str">
        <x:v>HOLD</x:v>
      </x:c>
    </x:row>
    <x:row r="100" ht="64" customHeight="1">
      <x:c r="A100" s="11" t="str">
        <x:v>H-016</x:v>
      </x:c>
      <x:c r="B100" s="11" t="str">
        <x:v>两阵列数据/时钟/状态线束</x:v>
      </x:c>
      <x:c r="C100" s="11" t="str">
        <x:v>KEYED_SIGNAL_HARNESS_TBD</x:v>
      </x:c>
      <x:c r="D100" s="11" t="str">
        <x:v>UNKNOWN_VERIFY</x:v>
      </x:c>
      <x:c r="E100" s="13" t="n">
        <x:v>0</x:v>
      </x:c>
      <x:c r="F100" s="14" t="n">
        <x:v>0.1</x:v>
      </x:c>
      <x:c r="G100" s="13" t="n">
        <x:f>ROUNDUP(E100*(1+F100),0)</x:f>
        <x:v>0</x:v>
      </x:c>
      <x:c r="H100" s="11" t="str"/>
      <x:c r="I100" s="11" t="str">
        <x:v>RETURN_GROUND_TBD; Pin1/EP原生库待核</x:v>
      </x:c>
      <x:c r="J100" s="11" t="str">
        <x:v>SEE_POWER_DOMAIN_CONTRACT</x:v>
      </x:c>
      <x:c r="K100" s="11" t="str">
        <x:v>UNKNOWN</x:v>
      </x:c>
      <x:c r="L100" s="11" t="str">
        <x:v>LOCAL12V / 5V / 3V3</x:v>
      </x:c>
      <x:c r="M100" s="11" t="str">
        <x:v>CANDIDATE_ENGINEERING_REQUIREMENT</x:v>
      </x:c>
      <x:c r="N100" s="11" t="str">
        <x:v>授权渠道待选；不默认替代</x:v>
      </x:c>
      <x:c r="O100" s="11" t="str">
        <x:v>SEE_SOURCE_REGISTER</x:v>
      </x:c>
      <x:c r="P100" s="11" t="str">
        <x:v>2026-10-11</x:v>
      </x:c>
      <x:c r="Q100" s="11" t="str">
        <x:v>CANDIDATE</x:v>
      </x:c>
      <x:c r="R100" s="11" t="str">
        <x:v>User hardware design direction, electrical release pending</x:v>
      </x:c>
      <x:c r="S100" s="11" t="str">
        <x:v>66MHz is unqualified; no ribbon guarantee</x:v>
      </x:c>
      <x:c r="T100" s="11" t="str">
        <x:v>UNKNOWN</x:v>
      </x:c>
      <x:c r="U100" s="11" t="str">
        <x:v>背面电子件 / 正面TX RX</x:v>
      </x:c>
      <x:c r="V100" s="11" t="str">
        <x:v>HOLD</x:v>
      </x:c>
    </x:row>
    <x:row r="101" ht="64" customHeight="1">
      <x:c r="A101" s="11" t="str">
        <x:v>H-017</x:v>
      </x:c>
      <x:c r="B101" s="11" t="str">
        <x:v>12V60W电源候选</x:v>
      </x:c>
      <x:c r="C101" s="11" t="str">
        <x:v>GST60A12-P1M</x:v>
      </x:c>
      <x:c r="D101" s="11" t="str">
        <x:v>UNKNOWN_VERIFY</x:v>
      </x:c>
      <x:c r="E101" s="13" t="n">
        <x:v>0</x:v>
      </x:c>
      <x:c r="F101" s="14" t="n">
        <x:v>0.1</x:v>
      </x:c>
      <x:c r="G101" s="13" t="n">
        <x:f>ROUNDUP(E101*(1+F101),0)</x:f>
        <x:v>0</x:v>
      </x:c>
      <x:c r="H101" s="11" t="str"/>
      <x:c r="I101" s="11" t="str">
        <x:v>EXTERNAL_5P5x2P5; Pin1/EP原生库待核</x:v>
      </x:c>
      <x:c r="J101" s="11" t="str">
        <x:v>SEE_POWER_DOMAIN_CONTRACT</x:v>
      </x:c>
      <x:c r="K101" s="11" t="str">
        <x:v>UNKNOWN</x:v>
      </x:c>
      <x:c r="L101" s="11" t="str">
        <x:v>LOCAL12V / 5V / 3V3</x:v>
      </x:c>
      <x:c r="M101" s="11" t="str">
        <x:v>CANDIDATE_ENGINEERING_REQUIREMENT</x:v>
      </x:c>
      <x:c r="N101" s="11" t="str">
        <x:v>授权渠道待选；不默认替代</x:v>
      </x:c>
      <x:c r="O101" s="11" t="str">
        <x:v>SEE_SOURCE_REGISTER</x:v>
      </x:c>
      <x:c r="P101" s="11" t="str">
        <x:v>2026-10-11</x:v>
      </x:c>
      <x:c r="Q101" s="11" t="str">
        <x:v>CANDIDATE</x:v>
      </x:c>
      <x:c r="R101" s="11" t="str">
        <x:v>User hardware design direction, electrical release pending</x:v>
      </x:c>
      <x:c r="S101" s="11" t="str">
        <x:v>Manufacturer P1M plug+5A thermal/load proof and user procurement required</x:v>
      </x:c>
      <x:c r="T101" s="11" t="str">
        <x:v>UNKNOWN</x:v>
      </x:c>
      <x:c r="U101" s="11" t="str">
        <x:v>背面电子件 / 正面TX RX</x:v>
      </x:c>
      <x:c r="V101" s="11" t="str">
        <x:v>HOLD</x:v>
      </x:c>
    </x:row>
    <x:row r="102" ht="64" customHeight="1">
      <x:c r="A102" s="11" t="str">
        <x:v>H-018</x:v>
      </x:c>
      <x:c r="B102" s="11" t="str">
        <x:v>12V40W备选不重复装配</x:v>
      </x:c>
      <x:c r="C102" s="11" t="str">
        <x:v>GST40A12-P1M</x:v>
      </x:c>
      <x:c r="D102" s="11" t="str">
        <x:v>UNKNOWN_VERIFY</x:v>
      </x:c>
      <x:c r="E102" s="13" t="n">
        <x:v>0</x:v>
      </x:c>
      <x:c r="F102" s="14" t="n">
        <x:v>0.1</x:v>
      </x:c>
      <x:c r="G102" s="13" t="n">
        <x:f>ROUNDUP(E102*(1+F102),0)</x:f>
        <x:v>0</x:v>
      </x:c>
      <x:c r="H102" s="11" t="str"/>
      <x:c r="I102" s="11" t="str">
        <x:v>EXTERNAL_5P5x2P5; Pin1/EP原生库待核</x:v>
      </x:c>
      <x:c r="J102" s="11" t="str">
        <x:v>SEE_POWER_DOMAIN_CONTRACT</x:v>
      </x:c>
      <x:c r="K102" s="11" t="str">
        <x:v>UNKNOWN</x:v>
      </x:c>
      <x:c r="L102" s="11" t="str">
        <x:v>LOCAL12V / 5V / 3V3</x:v>
      </x:c>
      <x:c r="M102" s="11" t="str">
        <x:v>CANDIDATE_ENGINEERING_REQUIREMENT</x:v>
      </x:c>
      <x:c r="N102" s="11" t="str">
        <x:v>授权渠道待选；不默认替代</x:v>
      </x:c>
      <x:c r="O102" s="11" t="str">
        <x:v>SEE_SOURCE_REGISTER</x:v>
      </x:c>
      <x:c r="P102" s="11" t="str">
        <x:v>2026-10-11</x:v>
      </x:c>
      <x:c r="Q102" s="11" t="str">
        <x:v>CANDIDATE</x:v>
      </x:c>
      <x:c r="R102" s="11" t="str">
        <x:v>User hardware design direction, electrical release pending</x:v>
      </x:c>
      <x:c r="S102" s="11" t="str">
        <x:v>Alternative only, &lt;=30.77W/board at30% headroom before derating</x:v>
      </x:c>
      <x:c r="T102" s="11" t="str">
        <x:v>UNKNOWN</x:v>
      </x:c>
      <x:c r="U102" s="11" t="str">
        <x:v>背面电子件 / 正面TX RX</x:v>
      </x:c>
      <x:c r="V102" s="11" t="str">
        <x:v>HOLD</x:v>
      </x:c>
    </x:row>
    <x:row r="103" ht="64" customHeight="1">
      <x:c r="A103" s="11" t="str">
        <x:v>H-019</x:v>
      </x:c>
      <x:c r="B103" s="11" t="str">
        <x:v>中央独立USB-C电源</x:v>
      </x:c>
      <x:c r="C103" s="11" t="str">
        <x:v>USB_C_5V_3A_SOURCE_TBD</x:v>
      </x:c>
      <x:c r="D103" s="11" t="str">
        <x:v>UNKNOWN_VERIFY</x:v>
      </x:c>
      <x:c r="E103" s="13" t="n">
        <x:v>0</x:v>
      </x:c>
      <x:c r="F103" s="14" t="n">
        <x:v>0.1</x:v>
      </x:c>
      <x:c r="G103" s="13" t="n">
        <x:f>ROUNDUP(E103*(1+F103),0)</x:f>
        <x:v>0</x:v>
      </x:c>
      <x:c r="H103" s="11" t="str"/>
      <x:c r="I103" s="11" t="str">
        <x:v>EXTERNAL; Pin1/EP原生库待核</x:v>
      </x:c>
      <x:c r="J103" s="11" t="str">
        <x:v>SEE_POWER_DOMAIN_CONTRACT</x:v>
      </x:c>
      <x:c r="K103" s="11" t="str">
        <x:v>UNKNOWN</x:v>
      </x:c>
      <x:c r="L103" s="11" t="str">
        <x:v>LOCAL12V / 5V / 3V3</x:v>
      </x:c>
      <x:c r="M103" s="11" t="str">
        <x:v>CANDIDATE_ENGINEERING_REQUIREMENT</x:v>
      </x:c>
      <x:c r="N103" s="11" t="str">
        <x:v>授权渠道待选；不默认替代</x:v>
      </x:c>
      <x:c r="O103" s="11" t="str">
        <x:v>SEE_SOURCE_REGISTER</x:v>
      </x:c>
      <x:c r="P103" s="11" t="str">
        <x:v>2026-10-11</x:v>
      </x:c>
      <x:c r="Q103" s="11" t="str">
        <x:v>CANDIDATE</x:v>
      </x:c>
      <x:c r="R103" s="11" t="str">
        <x:v>User hardware design direction, electrical release pending</x:v>
      </x:c>
      <x:c r="S103" s="11" t="str">
        <x:v>CC3A availability; no implicit draw3A</x:v>
      </x:c>
      <x:c r="T103" s="11" t="str">
        <x:v>UNKNOWN</x:v>
      </x:c>
      <x:c r="U103" s="11" t="str">
        <x:v>背面电子件 / 正面TX RX</x:v>
      </x:c>
      <x:c r="V103" s="11" t="str">
        <x:v>HOLD</x:v>
      </x:c>
    </x:row>
    <x:row r="104" ht="216" customHeight="1">
      <x:c r="A104" s="11" t="str">
        <x:v>H-020</x:v>
      </x:c>
      <x:c r="B104" s="11" t="str">
        <x:v>每路驱动输入默认低</x:v>
      </x:c>
      <x:c r="C104" s="11" t="str">
        <x:v>DRIVER_INPUT_PULLDOWN_TBD</x:v>
      </x:c>
      <x:c r="D104" s="11" t="str">
        <x:v>UNKNOWN_VERIFY</x:v>
      </x:c>
      <x:c r="E104" s="13" t="n">
        <x:v>64</x:v>
      </x:c>
      <x:c r="F104" s="14" t="n">
        <x:v>0.1</x:v>
      </x:c>
      <x:c r="G104" s="13" t="n">
        <x:f>ROUNDUP(E104*(1+F104),0)</x:f>
        <x:v>71</x:v>
      </x:c>
      <x:c r="H104" s="11" t="str">
        <x:v>DN_H020_001, DN_H020_002, DN_H020_003, DN_H020_004, DN_H020_005, DN_H020_006, DN_H020_007, DN_H020_008, DN_H020_009, DN_H020_010, DN_H020_011, DN_H020_012, DN_H020_013, DN_H020_014, DN_H020_015, DN_H020_016, DN_H020_017, DN_H020_018, DN_H020_019, DN_H020_020, DN_H020_021, DN_H020_022, DN_H020_023, DN_H020_024, DN_H020_025, DN_H020_026, DN_H020_027, DN_H020_028, DN_H020_029, DN_H020_030, DN_H020_031, DN_H020_032, DN_H020_033, DN_H020_034, DN_H020_035, DN_H020_036, DN_H020_037, DN_H020_038, DN_H020_039, DN_H020_040, DN_H020_041, DN_H020_042, DN_H020_043, DN_H020_044, DN_H020_045, DN_H020_046, DN_H020_047, DN_H020_048, DN_H020_049, DN_H020_050, DN_H020_051, DN_H020_052, DN_H020_053, DN_H020_054, DN_H020_055, DN_H020_056, DN_H020_057, DN_H020_058, DN_H020_059, DN_H020_060, DN_H020_061, DN_H020_062, DN_H020_063, DN_H020_064</x:v>
      </x:c>
      <x:c r="I104" s="11" t="str">
        <x:v>R_VALUE_TBD; Pin1/EP原生库待核</x:v>
      </x:c>
      <x:c r="J104" s="11" t="str">
        <x:v>SEE_POWER_DOMAIN_CONTRACT</x:v>
      </x:c>
      <x:c r="K104" s="11" t="str">
        <x:v>UNKNOWN</x:v>
      </x:c>
      <x:c r="L104" s="11" t="str">
        <x:v>LOCAL12V / 5V / 3V3</x:v>
      </x:c>
      <x:c r="M104" s="11" t="str">
        <x:v>CANDIDATE_ENGINEERING_REQUIREMENT</x:v>
      </x:c>
      <x:c r="N104" s="11" t="str">
        <x:v>授权渠道待选；不默认替代</x:v>
      </x:c>
      <x:c r="O104" s="11" t="str">
        <x:v>SEE_SOURCE_REGISTER</x:v>
      </x:c>
      <x:c r="P104" s="11" t="str">
        <x:v>2026-10-11</x:v>
      </x:c>
      <x:c r="Q104" s="11" t="str">
        <x:v>CANDIDATE</x:v>
      </x:c>
      <x:c r="R104" s="11" t="str">
        <x:v>User hardware design direction, electrical release pending</x:v>
      </x:c>
      <x:c r="S104" s="11" t="str">
        <x:v>595OE high makes Q high-Z; pulldown must defeat leakage without load excess</x:v>
      </x:c>
      <x:c r="T104" s="11" t="str">
        <x:v>UNKNOWN</x:v>
      </x:c>
      <x:c r="U104" s="11" t="str">
        <x:v>背面电子件 / 正面TX RX</x:v>
      </x:c>
      <x:c r="V104" s="11" t="str">
        <x:v>HOLD</x:v>
      </x:c>
    </x:row>
    <x:row r="105" ht="64" customHeight="1">
      <x:c r="A105" s="11" t="str">
        <x:v>H-021</x:v>
      </x:c>
      <x:c r="B105" s="11" t="str">
        <x:v>I2C独立复位电路</x:v>
      </x:c>
      <x:c r="C105" s="11" t="str">
        <x:v>MUX_RESET_SUPERVISOR_TBD</x:v>
      </x:c>
      <x:c r="D105" s="11" t="str">
        <x:v>UNKNOWN_VERIFY</x:v>
      </x:c>
      <x:c r="E105" s="13" t="n">
        <x:v>0</x:v>
      </x:c>
      <x:c r="F105" s="14" t="n">
        <x:v>0.1</x:v>
      </x:c>
      <x:c r="G105" s="13" t="n">
        <x:f>ROUNDUP(E105*(1+F105),0)</x:f>
        <x:v>0</x:v>
      </x:c>
      <x:c r="H105" s="11" t="str"/>
      <x:c r="I105" s="11" t="str">
        <x:v>PIN_REVIEW_TBD; Pin1/EP原生库待核</x:v>
      </x:c>
      <x:c r="J105" s="11" t="str">
        <x:v>SEE_POWER_DOMAIN_CONTRACT</x:v>
      </x:c>
      <x:c r="K105" s="11" t="str">
        <x:v>UNKNOWN</x:v>
      </x:c>
      <x:c r="L105" s="11" t="str">
        <x:v>LOCAL12V / 5V / 3V3</x:v>
      </x:c>
      <x:c r="M105" s="11" t="str">
        <x:v>CANDIDATE_ENGINEERING_REQUIREMENT</x:v>
      </x:c>
      <x:c r="N105" s="11" t="str">
        <x:v>授权渠道待选；不默认替代</x:v>
      </x:c>
      <x:c r="O105" s="11" t="str">
        <x:v>SEE_SOURCE_REGISTER</x:v>
      </x:c>
      <x:c r="P105" s="11" t="str">
        <x:v>2026-10-11</x:v>
      </x:c>
      <x:c r="Q105" s="11" t="str">
        <x:v>CANDIDATE</x:v>
      </x:c>
      <x:c r="R105" s="11" t="str">
        <x:v>User hardware design direction, electrical release pending</x:v>
      </x:c>
      <x:c r="S105" s="11" t="str">
        <x:v>No new PL GPIO claimed; supervisor/recovery method needs actual circuit</x:v>
      </x:c>
      <x:c r="T105" s="11" t="str">
        <x:v>UNKNOWN</x:v>
      </x:c>
      <x:c r="U105" s="11" t="str">
        <x:v>背面电子件 / 正面TX RX</x:v>
      </x:c>
      <x:c r="V105" s="11" t="str">
        <x:v>HOLD</x:v>
      </x:c>
    </x:row>
    <x:row r="106">
      <x:c r="A106" s="9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</x:row>
    <x:row r="107">
      <x:c r="A107" s="9" t="str">
        <x:v>装机数量合计</x:v>
      </x:c>
      <x:c r="B107" s="9"/>
      <x:c r="C107" s="9"/>
      <x:c r="D107" s="9"/>
      <x:c r="E107" s="9" t="n">
        <x:f>SUM(E5:E105)</x:f>
        <x:v>551</x:v>
      </x:c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  <x:c r="Q107" s="9"/>
      <x:c r="R107" s="9"/>
      <x:c r="S107" s="9"/>
      <x:c r="T107" s="9"/>
      <x:c r="U107" s="9"/>
      <x:c r="V107" s="9"/>
    </x:row>
  </x:sheetData>
  <x:pageMargins left="0.7" right="0.7" top="0.75" bottom="0.75" header="0.3" footer="0.3"/>
  <x:tableParts count="1">
    <x:tablePart xmlns:r="http://schemas.openxmlformats.org/officeDocument/2006/relationships" r:id="R9cdbc90d67c5488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36" hidden="0" customWidth="1"/>
    <x:col min="3" max="3" width="46" hidden="0" customWidth="1"/>
    <x:col min="4" max="4" width="23" hidden="0" customWidth="1"/>
    <x:col min="5" max="5" width="10" hidden="0" customWidth="1"/>
    <x:col min="6" max="6" width="10" hidden="0" customWidth="1"/>
    <x:col min="7" max="7" width="11" hidden="0" customWidth="1"/>
    <x:col min="8" max="8" width="62" hidden="0" customWidth="1"/>
    <x:col min="9" max="9" width="50" hidden="0" customWidth="1"/>
    <x:col min="10" max="10" width="58" hidden="0" customWidth="1"/>
    <x:col min="11" max="11" width="16" hidden="0" customWidth="1"/>
    <x:col min="12" max="12" width="32" hidden="0" customWidth="1"/>
    <x:col min="13" max="13" width="76" hidden="0" customWidth="1"/>
    <x:col min="14" max="14" width="34" hidden="0" customWidth="1"/>
    <x:col min="15" max="15" width="28" hidden="0" customWidth="1"/>
    <x:col min="16" max="16" width="16" hidden="0" customWidth="1"/>
    <x:col min="17" max="17" width="53" hidden="0" customWidth="1"/>
    <x:col min="18" max="18" width="65" hidden="0" customWidth="1"/>
    <x:col min="19" max="19" width="105" hidden="0" customWidth="1"/>
    <x:col min="20" max="20" width="16" hidden="0" customWidth="1"/>
    <x:col min="21" max="21" width="32" hidden="0" customWidth="1"/>
    <x:col min="22" max="22" width="20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</x:row>
    <x:row r="2">
      <x:c r="A2" s="12" t="str">
        <x:v>External v5 四源供电工作 BOM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</x:row>
    <x:row r="3">
      <x:c r="A3" s="9" t="str">
        <x:v>采购 HOLD；DNP 行装机数为0；聚合无源件需分解定料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</x:row>
    <x:row r="4" ht="32" customHeight="1">
      <x:c r="A4" s="10" t="str">
        <x:v>ID</x:v>
      </x:c>
      <x:c r="B4" s="10" t="str">
        <x:v>器件名称</x:v>
      </x:c>
      <x:c r="C4" s="10" t="str">
        <x:v>完整MPN / 待定标记</x:v>
      </x:c>
      <x:c r="D4" s="10" t="str">
        <x:v>原厂</x:v>
      </x:c>
      <x:c r="E4" s="10" t="str">
        <x:v>装机数</x:v>
      </x:c>
      <x:c r="F4" s="10" t="str">
        <x:v>备件率</x:v>
      </x:c>
      <x:c r="G4" s="10" t="str">
        <x:v>计划数量</x:v>
      </x:c>
      <x:c r="H4" s="10" t="str">
        <x:v>位号</x:v>
      </x:c>
      <x:c r="I4" s="10" t="str">
        <x:v>封装 / Pin1 / EP</x:v>
      </x:c>
      <x:c r="J4" s="10" t="str">
        <x:v>主要额定 / 用途</x:v>
      </x:c>
      <x:c r="K4" s="10" t="str">
        <x:v>电流 A</x:v>
      </x:c>
      <x:c r="L4" s="10" t="str">
        <x:v>供电域</x:v>
      </x:c>
      <x:c r="M4" s="10" t="str">
        <x:v>原厂资料链接</x:v>
      </x:c>
      <x:c r="N4" s="10" t="str">
        <x:v>国内供应商 / 替代</x:v>
      </x:c>
      <x:c r="O4" s="10" t="str">
        <x:v>Datasheet版本</x:v>
      </x:c>
      <x:c r="P4" s="10" t="str">
        <x:v>检索日期</x:v>
      </x:c>
      <x:c r="Q4" s="10" t="str">
        <x:v>器件筛选状态</x:v>
      </x:c>
      <x:c r="R4" s="10" t="str">
        <x:v>批准来源</x:v>
      </x:c>
      <x:c r="S4" s="10" t="str">
        <x:v>未知及证明路径</x:v>
      </x:c>
      <x:c r="T4" s="10" t="str">
        <x:v>单价 CNY</x:v>
      </x:c>
      <x:c r="U4" s="10" t="str">
        <x:v>装配侧</x:v>
      </x:c>
      <x:c r="V4" s="10" t="str">
        <x:v>采购状态</x:v>
      </x:c>
    </x:row>
    <x:row r="5" ht="64" customHeight="1">
      <x:c r="A5" s="11" t="str">
        <x:v>B-001</x:v>
      </x:c>
      <x:c r="B5" s="11" t="str">
        <x:v>40kHz 超声发射换能器</x:v>
      </x:c>
      <x:c r="C5" s="11" t="str">
        <x:v>NU40C10T-2_ORDER_CODE_PENDING_VENDOR</x:v>
      </x:c>
      <x:c r="D5" s="11" t="str">
        <x:v>UNKNOWN_VERIFY</x:v>
      </x:c>
      <x:c r="E5" s="13" t="n">
        <x:v>0</x:v>
      </x:c>
      <x:c r="F5" s="14" t="n">
        <x:v>0.1</x:v>
      </x:c>
      <x:c r="G5" s="13" t="n">
        <x:f>ROUNDUP(E5*(1+F5),0)</x:f>
        <x:v>0</x:v>
      </x:c>
      <x:c r="H5" s="11" t="str"/>
      <x:c r="I5" s="11" t="str">
        <x:v>THT2; body9.8+/-0.5mm; pitch5.0+/-0.5mm; lead0.7+/-0.1mm; Pin1/EP原生库待核</x:v>
      </x:c>
      <x:c r="J5" s="11" t="str">
        <x:v>用户锁定发射器型号；供应商完整 datasheet / 焊脚尺寸尚需核实</x:v>
      </x:c>
      <x:c r="K5" s="11" t="str">
        <x:v>UNKNOWN</x:v>
      </x:c>
      <x:c r="L5" s="11" t="str">
        <x:v>外部独立电源 / 线束</x:v>
      </x:c>
      <x:c r="M5" s="11" t="str">
        <x:v>USER_VENDOR_IMAGES_HASHES_IN_VENDOR_PARAMETERS.json</x:v>
      </x:c>
      <x:c r="N5" s="11" t="str">
        <x:v>授权渠道待选；不默认替代</x:v>
      </x:c>
      <x:c r="O5" s="11" t="str">
        <x:v>UNKNOWN_VERIFY</x:v>
      </x:c>
      <x:c r="P5" s="11" t="str">
        <x:v>2026-10-11</x:v>
      </x:c>
      <x:c r="Q5" s="11" t="str">
        <x:v>INHERITED_CANDIDATE_REQUIRES_NATIVE_PIN_REVIEW</x:v>
      </x:c>
      <x:c r="R5" s="11" t="str">
        <x:v>User v5 scope; no procurement permission</x:v>
      </x:c>
      <x:c r="S5" s="11" t="str">
        <x:v>Inherited candidate quantity; netlist/thermal review pending</x:v>
      </x:c>
      <x:c r="T5" s="11" t="str">
        <x:v>UNKNOWN</x:v>
      </x:c>
      <x:c r="U5" s="11" t="str">
        <x:v>外部配件</x:v>
      </x:c>
      <x:c r="V5" s="11" t="str">
        <x:v>HOLD</x:v>
      </x:c>
    </x:row>
    <x:row r="6" ht="64" customHeight="1">
      <x:c r="A6" s="11" t="str">
        <x:v>B-002</x:v>
      </x:c>
      <x:c r="B6" s="11" t="str">
        <x:v>40kHz 超声接收换能器</x:v>
      </x:c>
      <x:c r="C6" s="11" t="str">
        <x:v>NU40C10R-2_CANDIDATE_EXACT_RX_MPN_HOLD</x:v>
      </x:c>
      <x:c r="D6" s="11" t="str">
        <x:v>UNKNOWN_VERIFY</x:v>
      </x:c>
      <x:c r="E6" s="13" t="n">
        <x:v>0</x:v>
      </x:c>
      <x:c r="F6" s="14" t="n">
        <x:v>0.1</x:v>
      </x:c>
      <x:c r="G6" s="13" t="n">
        <x:f>ROUNDUP(E6*(1+F6),0)</x:f>
        <x:v>0</x:v>
      </x:c>
      <x:c r="H6" s="11" t="str"/>
      <x:c r="I6" s="11" t="str">
        <x:v>THT2_CANDIDATE_VERIFY_RX_MECHANICAL; Pin1/EP原生库待核</x:v>
      </x:c>
      <x:c r="J6" s="11" t="str">
        <x:v>同频匹配接收器；不得擅自把TX当RX</x:v>
      </x:c>
      <x:c r="K6" s="11" t="str">
        <x:v>UNKNOWN</x:v>
      </x:c>
      <x:c r="L6" s="11" t="str">
        <x:v>外部独立电源 / 线束</x:v>
      </x:c>
      <x:c r="M6" s="11" t="str">
        <x:v>https://github.com/loverlike1216/SonoField-FPGA/tree/main/v5</x:v>
      </x:c>
      <x:c r="N6" s="11" t="str">
        <x:v>授权渠道待选；不默认替代</x:v>
      </x:c>
      <x:c r="O6" s="11" t="str">
        <x:v>UNKNOWN_VERIFY</x:v>
      </x:c>
      <x:c r="P6" s="11" t="str">
        <x:v>2026-10-11</x:v>
      </x:c>
      <x:c r="Q6" s="11" t="str">
        <x:v>INHERITED_CANDIDATE_REQUIRES_NATIVE_PIN_REVIEW</x:v>
      </x:c>
      <x:c r="R6" s="11" t="str">
        <x:v>User v5 scope; no procurement permission</x:v>
      </x:c>
      <x:c r="S6" s="11" t="str">
        <x:v>Inherited candidate quantity; netlist/thermal review pending</x:v>
      </x:c>
      <x:c r="T6" s="11" t="str">
        <x:v>UNKNOWN</x:v>
      </x:c>
      <x:c r="U6" s="11" t="str">
        <x:v>外部配件</x:v>
      </x:c>
      <x:c r="V6" s="11" t="str">
        <x:v>HOLD</x:v>
      </x:c>
    </x:row>
    <x:row r="7" ht="64" customHeight="1">
      <x:c r="A7" s="11" t="str">
        <x:v>B-003</x:v>
      </x:c>
      <x:c r="B7" s="11" t="str">
        <x:v>双通道功率驱动器</x:v>
      </x:c>
      <x:c r="C7" s="11" t="str">
        <x:v>TC4427AEOA713</x:v>
      </x:c>
      <x:c r="D7" s="11" t="str">
        <x:v>UNKNOWN_VERIFY</x:v>
      </x:c>
      <x:c r="E7" s="13" t="n">
        <x:v>0</x:v>
      </x:c>
      <x:c r="F7" s="14" t="n">
        <x:v>0.1</x:v>
      </x:c>
      <x:c r="G7" s="13" t="n">
        <x:f>ROUNDUP(E7*(1+F7),0)</x:f>
        <x:v>0</x:v>
      </x:c>
      <x:c r="H7" s="11" t="str"/>
      <x:c r="I7" s="11" t="str">
        <x:v>SOIC-8; Pin1/EP原生库待核</x:v>
      </x:c>
      <x:c r="J7" s="11" t="str">
        <x:v>2输出/芯片；12V首轮限流调试，不是NU40C10T额定电压</x:v>
      </x:c>
      <x:c r="K7" s="11" t="str">
        <x:v>UNKNOWN</x:v>
      </x:c>
      <x:c r="L7" s="11" t="str">
        <x:v>外部独立电源 / 线束</x:v>
      </x:c>
      <x:c r="M7" s="11" t="str">
        <x:v>https://www.microchip.com/en-us/product/TC4427A</x:v>
      </x:c>
      <x:c r="N7" s="11" t="str">
        <x:v>授权渠道待选；不默认替代</x:v>
      </x:c>
      <x:c r="O7" s="11" t="str">
        <x:v>UNKNOWN_VERIFY</x:v>
      </x:c>
      <x:c r="P7" s="11" t="str">
        <x:v>2026-10-11</x:v>
      </x:c>
      <x:c r="Q7" s="11" t="str">
        <x:v>INHERITED_CANDIDATE_REQUIRES_NATIVE_PIN_REVIEW</x:v>
      </x:c>
      <x:c r="R7" s="11" t="str">
        <x:v>User v5 scope; no procurement permission</x:v>
      </x:c>
      <x:c r="S7" s="11" t="str">
        <x:v>Inherited candidate quantity; netlist/thermal review pending</x:v>
      </x:c>
      <x:c r="T7" s="11" t="str">
        <x:v>UNKNOWN</x:v>
      </x:c>
      <x:c r="U7" s="11" t="str">
        <x:v>外部配件</x:v>
      </x:c>
      <x:c r="V7" s="11" t="str">
        <x:v>HOLD</x:v>
      </x:c>
    </x:row>
    <x:row r="8" ht="64" customHeight="1">
      <x:c r="A8" s="11" t="str">
        <x:v>B-004</x:v>
      </x:c>
      <x:c r="B8" s="11" t="str">
        <x:v>8位串入并出寄存器</x:v>
      </x:c>
      <x:c r="C8" s="11" t="str">
        <x:v>SN74LVC595APWR</x:v>
      </x:c>
      <x:c r="D8" s="11" t="str">
        <x:v>UNKNOWN_VERIFY</x:v>
      </x:c>
      <x:c r="E8" s="13" t="n">
        <x:v>0</x:v>
      </x:c>
      <x:c r="F8" s="14" t="n">
        <x:v>0.1</x:v>
      </x:c>
      <x:c r="G8" s="13" t="n">
        <x:f>ROUNDUP(E8*(1+F8),0)</x:f>
        <x:v>0</x:v>
      </x:c>
      <x:c r="H8" s="11" t="str"/>
      <x:c r="I8" s="11" t="str">
        <x:v>TSSOP-16; Pin1/EP原生库待核</x:v>
      </x:c>
      <x:c r="J8" s="11" t="str">
        <x:v>每片4个有效输出；每侧16条独立串行lane</x:v>
      </x:c>
      <x:c r="K8" s="11" t="str">
        <x:v>UNKNOWN</x:v>
      </x:c>
      <x:c r="L8" s="11" t="str">
        <x:v>外部独立电源 / 线束</x:v>
      </x:c>
      <x:c r="M8" s="11" t="str">
        <x:v>https://www.ti.com/product/SN74LVC595A</x:v>
      </x:c>
      <x:c r="N8" s="11" t="str">
        <x:v>授权渠道待选；不默认替代</x:v>
      </x:c>
      <x:c r="O8" s="11" t="str">
        <x:v>UNKNOWN_VERIFY</x:v>
      </x:c>
      <x:c r="P8" s="11" t="str">
        <x:v>2026-10-11</x:v>
      </x:c>
      <x:c r="Q8" s="11" t="str">
        <x:v>INHERITED_CANDIDATE_REQUIRES_NATIVE_PIN_REVIEW</x:v>
      </x:c>
      <x:c r="R8" s="11" t="str">
        <x:v>User v5 scope; no procurement permission</x:v>
      </x:c>
      <x:c r="S8" s="11" t="str">
        <x:v>Inherited candidate quantity; netlist/thermal review pending</x:v>
      </x:c>
      <x:c r="T8" s="11" t="str">
        <x:v>UNKNOWN</x:v>
      </x:c>
      <x:c r="U8" s="11" t="str">
        <x:v>外部配件</x:v>
      </x:c>
      <x:c r="V8" s="11" t="str">
        <x:v>HOLD</x:v>
      </x:c>
    </x:row>
    <x:row r="9" ht="64" customHeight="1">
      <x:c r="A9" s="11" t="str">
        <x:v>B-005</x:v>
      </x:c>
      <x:c r="B9" s="11" t="str">
        <x:v>8位双电源电平转换</x:v>
      </x:c>
      <x:c r="C9" s="11" t="str">
        <x:v>SN74AXC8T245PWR</x:v>
      </x:c>
      <x:c r="D9" s="11" t="str">
        <x:v>UNKNOWN_VERIFY</x:v>
      </x:c>
      <x:c r="E9" s="13" t="n">
        <x:v>0</x:v>
      </x:c>
      <x:c r="F9" s="14" t="n">
        <x:v>0.1</x:v>
      </x:c>
      <x:c r="G9" s="13" t="n">
        <x:f>ROUNDUP(E9*(1+F9),0)</x:f>
        <x:v>0</x:v>
      </x:c>
      <x:c r="H9" s="11" t="str"/>
      <x:c r="I9" s="11" t="str">
        <x:v>TSSOP-24; Pin1/EP原生库待核</x:v>
      </x:c>
      <x:c r="J9" s="11" t="str">
        <x:v>VCCA/VCCB均不得大于3.6V；根据VCCO放置与计算数量</x:v>
      </x:c>
      <x:c r="K9" s="11" t="str">
        <x:v>UNKNOWN</x:v>
      </x:c>
      <x:c r="L9" s="11" t="str">
        <x:v>外部独立电源 / 线束</x:v>
      </x:c>
      <x:c r="M9" s="11" t="str">
        <x:v>https://www.ti.com/product/SN74AXC8T245</x:v>
      </x:c>
      <x:c r="N9" s="11" t="str">
        <x:v>授权渠道待选；不默认替代</x:v>
      </x:c>
      <x:c r="O9" s="11" t="str">
        <x:v>UNKNOWN_VERIFY</x:v>
      </x:c>
      <x:c r="P9" s="11" t="str">
        <x:v>2026-10-11</x:v>
      </x:c>
      <x:c r="Q9" s="11" t="str">
        <x:v>INHERITED_CANDIDATE_REQUIRES_NATIVE_PIN_REVIEW</x:v>
      </x:c>
      <x:c r="R9" s="11" t="str">
        <x:v>User v5 scope; no procurement permission</x:v>
      </x:c>
      <x:c r="S9" s="11" t="str">
        <x:v>Inherited candidate quantity; netlist/thermal review pending</x:v>
      </x:c>
      <x:c r="T9" s="11" t="str">
        <x:v>UNKNOWN</x:v>
      </x:c>
      <x:c r="U9" s="11" t="str">
        <x:v>外部配件</x:v>
      </x:c>
      <x:c r="V9" s="11" t="str">
        <x:v>HOLD</x:v>
      </x:c>
    </x:row>
    <x:row r="10" ht="64" customHeight="1">
      <x:c r="A10" s="11" t="str">
        <x:v>B-006</x:v>
      </x:c>
      <x:c r="B10" s="11" t="str">
        <x:v>8路时钟缓冲器</x:v>
      </x:c>
      <x:c r="C10" s="11" t="str">
        <x:v>SN74LVC244APWR</x:v>
      </x:c>
      <x:c r="D10" s="11" t="str">
        <x:v>UNKNOWN_VERIFY</x:v>
      </x:c>
      <x:c r="E10" s="13" t="n">
        <x:v>0</x:v>
      </x:c>
      <x:c r="F10" s="14" t="n">
        <x:v>0.1</x:v>
      </x:c>
      <x:c r="G10" s="13" t="n">
        <x:f>ROUNDUP(E10*(1+F10),0)</x:f>
        <x:v>0</x:v>
      </x:c>
      <x:c r="H10" s="11" t="str"/>
      <x:c r="I10" s="11" t="str">
        <x:v>TSSOP-20; Pin1/EP原生库待核</x:v>
      </x:c>
      <x:c r="J10" s="11" t="str">
        <x:v>每阵列1颗；4路SRCLK+4路RCLK 需负载证明</x:v>
      </x:c>
      <x:c r="K10" s="11" t="str">
        <x:v>UNKNOWN</x:v>
      </x:c>
      <x:c r="L10" s="11" t="str">
        <x:v>外部独立电源 / 线束</x:v>
      </x:c>
      <x:c r="M10" s="11" t="str">
        <x:v>https://www.ti.com/product/SN74LVC244A</x:v>
      </x:c>
      <x:c r="N10" s="11" t="str">
        <x:v>授权渠道待选；不默认替代</x:v>
      </x:c>
      <x:c r="O10" s="11" t="str">
        <x:v>UNKNOWN_VERIFY</x:v>
      </x:c>
      <x:c r="P10" s="11" t="str">
        <x:v>2026-10-11</x:v>
      </x:c>
      <x:c r="Q10" s="11" t="str">
        <x:v>INHERITED_CANDIDATE_REQUIRES_NATIVE_PIN_REVIEW</x:v>
      </x:c>
      <x:c r="R10" s="11" t="str">
        <x:v>User v5 scope; no procurement permission</x:v>
      </x:c>
      <x:c r="S10" s="11" t="str">
        <x:v>Inherited candidate quantity; netlist/thermal review pending</x:v>
      </x:c>
      <x:c r="T10" s="11" t="str">
        <x:v>UNKNOWN</x:v>
      </x:c>
      <x:c r="U10" s="11" t="str">
        <x:v>外部配件</x:v>
      </x:c>
      <x:c r="V10" s="11" t="str">
        <x:v>HOLD</x:v>
      </x:c>
    </x:row>
    <x:row r="11" ht="64" customHeight="1">
      <x:c r="A11" s="11" t="str">
        <x:v>B-007</x:v>
      </x:c>
      <x:c r="B11" s="11" t="str">
        <x:v>双输入OR联锁门</x:v>
      </x:c>
      <x:c r="C11" s="11" t="str">
        <x:v>SN74LVC1G32DBVR</x:v>
      </x:c>
      <x:c r="D11" s="11" t="str">
        <x:v>UNKNOWN_VERIFY</x:v>
      </x:c>
      <x:c r="E11" s="13" t="n">
        <x:v>0</x:v>
      </x:c>
      <x:c r="F11" s="14" t="n">
        <x:v>0.1</x:v>
      </x:c>
      <x:c r="G11" s="13" t="n">
        <x:f>ROUNDUP(E11*(1+F11),0)</x:f>
        <x:v>0</x:v>
      </x:c>
      <x:c r="H11" s="11" t="str"/>
      <x:c r="I11" s="11" t="str">
        <x:v>SOT-23-5; Pin1/EP原生库待核</x:v>
      </x:c>
      <x:c r="J11" s="11" t="str">
        <x:v>OE fail-high 组合/拉起，逻辑需核验</x:v>
      </x:c>
      <x:c r="K11" s="11" t="str">
        <x:v>UNKNOWN</x:v>
      </x:c>
      <x:c r="L11" s="11" t="str">
        <x:v>外部独立电源 / 线束</x:v>
      </x:c>
      <x:c r="M11" s="11" t="str">
        <x:v>https://www.ti.com/product/SN74LVC1G32</x:v>
      </x:c>
      <x:c r="N11" s="11" t="str">
        <x:v>授权渠道待选；不默认替代</x:v>
      </x:c>
      <x:c r="O11" s="11" t="str">
        <x:v>UNKNOWN_VERIFY</x:v>
      </x:c>
      <x:c r="P11" s="11" t="str">
        <x:v>2026-10-11</x:v>
      </x:c>
      <x:c r="Q11" s="11" t="str">
        <x:v>INHERITED_CANDIDATE_REQUIRES_NATIVE_PIN_REVIEW</x:v>
      </x:c>
      <x:c r="R11" s="11" t="str">
        <x:v>User v5 scope; no procurement permission</x:v>
      </x:c>
      <x:c r="S11" s="11" t="str">
        <x:v>Inherited candidate quantity; netlist/thermal review pending</x:v>
      </x:c>
      <x:c r="T11" s="11" t="str">
        <x:v>UNKNOWN</x:v>
      </x:c>
      <x:c r="U11" s="11" t="str">
        <x:v>外部配件</x:v>
      </x:c>
      <x:c r="V11" s="11" t="str">
        <x:v>HOLD</x:v>
      </x:c>
    </x:row>
    <x:row r="12" ht="64" customHeight="1">
      <x:c r="A12" s="11" t="str">
        <x:v>B-008</x:v>
      </x:c>
      <x:c r="B12" s="11" t="str">
        <x:v>独立上电复位/欠压检测</x:v>
      </x:c>
      <x:c r="C12" s="11" t="str">
        <x:v>TLV803 / TPS3839 类（需定料）</x:v>
      </x:c>
      <x:c r="D12" s="11" t="str">
        <x:v>UNKNOWN_VERIFY</x:v>
      </x:c>
      <x:c r="E12" s="13" t="n">
        <x:v>0</x:v>
      </x:c>
      <x:c r="F12" s="14" t="n">
        <x:v>0.1</x:v>
      </x:c>
      <x:c r="G12" s="13" t="n">
        <x:f>ROUNDUP(E12*(1+F12),0)</x:f>
        <x:v>0</x:v>
      </x:c>
      <x:c r="H12" s="11" t="str"/>
      <x:c r="I12" s="11" t="str">
        <x:v>SOT-23 TBD; Pin1/EP原生库待核</x:v>
      </x:c>
      <x:c r="J12" s="11" t="str">
        <x:v>监测各板本地3.3V；独立硬件复位/禁能</x:v>
      </x:c>
      <x:c r="K12" s="11" t="str">
        <x:v>UNKNOWN</x:v>
      </x:c>
      <x:c r="L12" s="11" t="str">
        <x:v>外部独立电源 / 线束</x:v>
      </x:c>
      <x:c r="M12" s="11" t="str">
        <x:v>https://www.ti.com/product/TPS3839</x:v>
      </x:c>
      <x:c r="N12" s="11" t="str">
        <x:v>授权渠道待选；不默认替代</x:v>
      </x:c>
      <x:c r="O12" s="11" t="str">
        <x:v>UNKNOWN_VERIFY</x:v>
      </x:c>
      <x:c r="P12" s="11" t="str">
        <x:v>2026-10-11</x:v>
      </x:c>
      <x:c r="Q12" s="11" t="str">
        <x:v>INHERITED_CANDIDATE_REQUIRES_NATIVE_PIN_REVIEW</x:v>
      </x:c>
      <x:c r="R12" s="11" t="str">
        <x:v>User v5 scope; no procurement permission</x:v>
      </x:c>
      <x:c r="S12" s="11" t="str">
        <x:v>Inherited candidate quantity; netlist/thermal review pending</x:v>
      </x:c>
      <x:c r="T12" s="11" t="str">
        <x:v>UNKNOWN</x:v>
      </x:c>
      <x:c r="U12" s="11" t="str">
        <x:v>外部配件</x:v>
      </x:c>
      <x:c r="V12" s="11" t="str">
        <x:v>HOLD</x:v>
      </x:c>
    </x:row>
    <x:row r="13" ht="64" customHeight="1">
      <x:c r="A13" s="11" t="str">
        <x:v>B-009</x:v>
      </x:c>
      <x:c r="B13" s="11" t="str">
        <x:v>硬件失联看门狗</x:v>
      </x:c>
      <x:c r="C13" s="11" t="str">
        <x:v>TPS3430 类（需定料）</x:v>
      </x:c>
      <x:c r="D13" s="11" t="str">
        <x:v>UNKNOWN_VERIFY</x:v>
      </x:c>
      <x:c r="E13" s="13" t="n">
        <x:v>0</x:v>
      </x:c>
      <x:c r="F13" s="14" t="n">
        <x:v>0.1</x:v>
      </x:c>
      <x:c r="G13" s="13" t="n">
        <x:f>ROUNDUP(E13*(1+F13),0)</x:f>
        <x:v>0</x:v>
      </x:c>
      <x:c r="H13" s="11" t="str"/>
      <x:c r="I13" s="11" t="str">
        <x:v>TBD; Pin1/EP原生库待核</x:v>
      </x:c>
      <x:c r="J13" s="11" t="str">
        <x:v>EN必须由本地心跳与PGOOD共同允许；不可仅FPGA软件控制</x:v>
      </x:c>
      <x:c r="K13" s="11" t="str">
        <x:v>UNKNOWN</x:v>
      </x:c>
      <x:c r="L13" s="11" t="str">
        <x:v>外部独立电源 / 线束</x:v>
      </x:c>
      <x:c r="M13" s="11" t="str">
        <x:v>https://www.ti.com/product/TPS3430</x:v>
      </x:c>
      <x:c r="N13" s="11" t="str">
        <x:v>授权渠道待选；不默认替代</x:v>
      </x:c>
      <x:c r="O13" s="11" t="str">
        <x:v>UNKNOWN_VERIFY</x:v>
      </x:c>
      <x:c r="P13" s="11" t="str">
        <x:v>2026-10-11</x:v>
      </x:c>
      <x:c r="Q13" s="11" t="str">
        <x:v>INHERITED_CANDIDATE_REQUIRES_NATIVE_PIN_REVIEW</x:v>
      </x:c>
      <x:c r="R13" s="11" t="str">
        <x:v>User v5 scope; no procurement permission</x:v>
      </x:c>
      <x:c r="S13" s="11" t="str">
        <x:v>Inherited candidate quantity; netlist/thermal review pending</x:v>
      </x:c>
      <x:c r="T13" s="11" t="str">
        <x:v>UNKNOWN</x:v>
      </x:c>
      <x:c r="U13" s="11" t="str">
        <x:v>外部配件</x:v>
      </x:c>
      <x:c r="V13" s="11" t="str">
        <x:v>HOLD</x:v>
      </x:c>
    </x:row>
    <x:row r="14" ht="64" customHeight="1">
      <x:c r="A14" s="11" t="str">
        <x:v>B-010</x:v>
      </x:c>
      <x:c r="B14" s="11" t="str">
        <x:v>4通道SPDT切换开关</x:v>
      </x:c>
      <x:c r="C14" s="11" t="str">
        <x:v>TMUX1574PWR</x:v>
      </x:c>
      <x:c r="D14" s="11" t="str">
        <x:v>UNKNOWN_VERIFY</x:v>
      </x:c>
      <x:c r="E14" s="13" t="n">
        <x:v>0</x:v>
      </x:c>
      <x:c r="F14" s="14" t="n">
        <x:v>0.1</x:v>
      </x:c>
      <x:c r="G14" s="13" t="n">
        <x:f>ROUNDUP(E14*(1+F14),0)</x:f>
        <x:v>0</x:v>
      </x:c>
      <x:c r="H14" s="11" t="str"/>
      <x:c r="I14" s="11" t="str">
        <x:v>TSSOP-16; Pin1/EP原生库待核</x:v>
      </x:c>
      <x:c r="J14" s="11" t="str">
        <x:v>每板4 RX通道；空白期切到静态偏置</x:v>
      </x:c>
      <x:c r="K14" s="11" t="str">
        <x:v>UNKNOWN</x:v>
      </x:c>
      <x:c r="L14" s="11" t="str">
        <x:v>外部独立电源 / 线束</x:v>
      </x:c>
      <x:c r="M14" s="11" t="str">
        <x:v>https://www.ti.com/product/TMUX1574</x:v>
      </x:c>
      <x:c r="N14" s="11" t="str">
        <x:v>授权渠道待选；不默认替代</x:v>
      </x:c>
      <x:c r="O14" s="11" t="str">
        <x:v>UNKNOWN_VERIFY</x:v>
      </x:c>
      <x:c r="P14" s="11" t="str">
        <x:v>2026-10-11</x:v>
      </x:c>
      <x:c r="Q14" s="11" t="str">
        <x:v>INHERITED_CANDIDATE_REQUIRES_NATIVE_PIN_REVIEW</x:v>
      </x:c>
      <x:c r="R14" s="11" t="str">
        <x:v>User v5 scope; no procurement permission</x:v>
      </x:c>
      <x:c r="S14" s="11" t="str">
        <x:v>Inherited candidate quantity; netlist/thermal review pending</x:v>
      </x:c>
      <x:c r="T14" s="11" t="str">
        <x:v>UNKNOWN</x:v>
      </x:c>
      <x:c r="U14" s="11" t="str">
        <x:v>外部配件</x:v>
      </x:c>
      <x:c r="V14" s="11" t="str">
        <x:v>HOLD</x:v>
      </x:c>
    </x:row>
    <x:row r="15" ht="64" customHeight="1">
      <x:c r="A15" s="11" t="str">
        <x:v>B-011</x:v>
      </x:c>
      <x:c r="B15" s="11" t="str">
        <x:v>四路精密运放</x:v>
      </x:c>
      <x:c r="C15" s="11" t="str">
        <x:v>OPA4192IPWR</x:v>
      </x:c>
      <x:c r="D15" s="11" t="str">
        <x:v>UNKNOWN_VERIFY</x:v>
      </x:c>
      <x:c r="E15" s="13" t="n">
        <x:v>0</x:v>
      </x:c>
      <x:c r="F15" s="14" t="n">
        <x:v>0.1</x:v>
      </x:c>
      <x:c r="G15" s="13" t="n">
        <x:f>ROUNDUP(E15*(1+F15),0)</x:f>
        <x:v>0</x:v>
      </x:c>
      <x:c r="H15" s="11" t="str"/>
      <x:c r="I15" s="11" t="str">
        <x:v>TSSOP-14; Pin1/EP原生库待核</x:v>
      </x:c>
      <x:c r="J15" s="11" t="str">
        <x:v>每个RX两级，合计16运放单元</x:v>
      </x:c>
      <x:c r="K15" s="11" t="str">
        <x:v>UNKNOWN</x:v>
      </x:c>
      <x:c r="L15" s="11" t="str">
        <x:v>外部独立电源 / 线束</x:v>
      </x:c>
      <x:c r="M15" s="11" t="str">
        <x:v>https://www.ti.com/product/OPA4192</x:v>
      </x:c>
      <x:c r="N15" s="11" t="str">
        <x:v>授权渠道待选；不默认替代</x:v>
      </x:c>
      <x:c r="O15" s="11" t="str">
        <x:v>UNKNOWN_VERIFY</x:v>
      </x:c>
      <x:c r="P15" s="11" t="str">
        <x:v>2026-10-11</x:v>
      </x:c>
      <x:c r="Q15" s="11" t="str">
        <x:v>INHERITED_CANDIDATE_REQUIRES_NATIVE_PIN_REVIEW</x:v>
      </x:c>
      <x:c r="R15" s="11" t="str">
        <x:v>User v5 scope; no procurement permission</x:v>
      </x:c>
      <x:c r="S15" s="11" t="str">
        <x:v>Inherited candidate quantity; netlist/thermal review pending</x:v>
      </x:c>
      <x:c r="T15" s="11" t="str">
        <x:v>UNKNOWN</x:v>
      </x:c>
      <x:c r="U15" s="11" t="str">
        <x:v>外部配件</x:v>
      </x:c>
      <x:c r="V15" s="11" t="str">
        <x:v>HOLD</x:v>
      </x:c>
    </x:row>
    <x:row r="16" ht="64" customHeight="1">
      <x:c r="A16" s="11" t="str">
        <x:v>B-012</x:v>
      </x:c>
      <x:c r="B16" s="11" t="str">
        <x:v>2.5V 精密偏置基准</x:v>
      </x:c>
      <x:c r="C16" s="11" t="str">
        <x:v>REF5025AIDR</x:v>
      </x:c>
      <x:c r="D16" s="11" t="str">
        <x:v>UNKNOWN_VERIFY</x:v>
      </x:c>
      <x:c r="E16" s="13" t="n">
        <x:v>0</x:v>
      </x:c>
      <x:c r="F16" s="14" t="n">
        <x:v>0.1</x:v>
      </x:c>
      <x:c r="G16" s="13" t="n">
        <x:f>ROUNDUP(E16*(1+F16),0)</x:f>
        <x:v>0</x:v>
      </x:c>
      <x:c r="H16" s="11" t="str"/>
      <x:c r="I16" s="11" t="str">
        <x:v>SOIC-8; Pin1/EP原生库待核</x:v>
      </x:c>
      <x:c r="J16" s="11" t="str">
        <x:v>各板一颗；ADC内部基准另按AD7606B约束</x:v>
      </x:c>
      <x:c r="K16" s="11" t="str">
        <x:v>UNKNOWN</x:v>
      </x:c>
      <x:c r="L16" s="11" t="str">
        <x:v>外部独立电源 / 线束</x:v>
      </x:c>
      <x:c r="M16" s="11" t="str">
        <x:v>https://www.ti.com/product/REF5025</x:v>
      </x:c>
      <x:c r="N16" s="11" t="str">
        <x:v>授权渠道待选；不默认替代</x:v>
      </x:c>
      <x:c r="O16" s="11" t="str">
        <x:v>UNKNOWN_VERIFY</x:v>
      </x:c>
      <x:c r="P16" s="11" t="str">
        <x:v>2026-10-11</x:v>
      </x:c>
      <x:c r="Q16" s="11" t="str">
        <x:v>INHERITED_CANDIDATE_REQUIRES_NATIVE_PIN_REVIEW</x:v>
      </x:c>
      <x:c r="R16" s="11" t="str">
        <x:v>User v5 scope; no procurement permission</x:v>
      </x:c>
      <x:c r="S16" s="11" t="str">
        <x:v>Inherited candidate quantity; netlist/thermal review pending</x:v>
      </x:c>
      <x:c r="T16" s="11" t="str">
        <x:v>UNKNOWN</x:v>
      </x:c>
      <x:c r="U16" s="11" t="str">
        <x:v>外部配件</x:v>
      </x:c>
      <x:c r="V16" s="11" t="str">
        <x:v>HOLD</x:v>
      </x:c>
    </x:row>
    <x:row r="17" ht="64" customHeight="1">
      <x:c r="A17" s="11" t="str">
        <x:v>B-013</x:v>
      </x:c>
      <x:c r="B17" s="11" t="str">
        <x:v>双肖特基输入保护</x:v>
      </x:c>
      <x:c r="C17" s="11" t="str">
        <x:v>BAT54S</x:v>
      </x:c>
      <x:c r="D17" s="11" t="str">
        <x:v>UNKNOWN_VERIFY</x:v>
      </x:c>
      <x:c r="E17" s="13" t="n">
        <x:v>0</x:v>
      </x:c>
      <x:c r="F17" s="14" t="n">
        <x:v>0.1</x:v>
      </x:c>
      <x:c r="G17" s="13" t="n">
        <x:f>ROUNDUP(E17*(1+F17),0)</x:f>
        <x:v>0</x:v>
      </x:c>
      <x:c r="H17" s="11" t="str"/>
      <x:c r="I17" s="11" t="str">
        <x:v>SOT-23; Pin1/EP原生库待核</x:v>
      </x:c>
      <x:c r="J17" s="11" t="str">
        <x:v>每RX一路</x:v>
      </x:c>
      <x:c r="K17" s="11" t="str">
        <x:v>UNKNOWN</x:v>
      </x:c>
      <x:c r="L17" s="11" t="str">
        <x:v>外部独立电源 / 线束</x:v>
      </x:c>
      <x:c r="M17" s="11" t="str">
        <x:v>https://www.lcsc.com</x:v>
      </x:c>
      <x:c r="N17" s="11" t="str">
        <x:v>授权渠道待选；不默认替代</x:v>
      </x:c>
      <x:c r="O17" s="11" t="str">
        <x:v>UNKNOWN_VERIFY</x:v>
      </x:c>
      <x:c r="P17" s="11" t="str">
        <x:v>2026-10-11</x:v>
      </x:c>
      <x:c r="Q17" s="11" t="str">
        <x:v>INHERITED_CANDIDATE_REQUIRES_NATIVE_PIN_REVIEW</x:v>
      </x:c>
      <x:c r="R17" s="11" t="str">
        <x:v>User v5 scope; no procurement permission</x:v>
      </x:c>
      <x:c r="S17" s="11" t="str">
        <x:v>Inherited candidate quantity; netlist/thermal review pending</x:v>
      </x:c>
      <x:c r="T17" s="11" t="str">
        <x:v>UNKNOWN</x:v>
      </x:c>
      <x:c r="U17" s="11" t="str">
        <x:v>外部配件</x:v>
      </x:c>
      <x:c r="V17" s="11" t="str">
        <x:v>HOLD</x:v>
      </x:c>
    </x:row>
    <x:row r="18" ht="64" customHeight="1">
      <x:c r="A18" s="11" t="str">
        <x:v>B-014</x:v>
      </x:c>
      <x:c r="B18" s="11" t="str">
        <x:v>8通道同步16bit ADC</x:v>
      </x:c>
      <x:c r="C18" s="11" t="str">
        <x:v>AD7606C-16BSTZ-RL</x:v>
      </x:c>
      <x:c r="D18" s="11" t="str">
        <x:v>Analog Devices</x:v>
      </x:c>
      <x:c r="E18" s="13" t="n">
        <x:v>0</x:v>
      </x:c>
      <x:c r="F18" s="14" t="n">
        <x:v>0.1</x:v>
      </x:c>
      <x:c r="G18" s="13" t="n">
        <x:f>ROUNDUP(E18*(1+F18),0)</x:f>
        <x:v>0</x:v>
      </x:c>
      <x:c r="H18" s="11" t="str"/>
      <x:c r="I18" s="11" t="str">
        <x:v>LQFP64 ST-64-2; Pin1/native footprint/order suffix HOLD; Pin1/EP原生库待核</x:v>
      </x:c>
      <x:c r="J18" s="11" t="str">
        <x:v>AVCC4.75..5.25V; VDRIVE3V3 candidate; highBW220kHz +/-5VSE</x:v>
      </x:c>
      <x:c r="K18" s="11" t="n">
        <x:v>0.05</x:v>
      </x:c>
      <x:c r="L18" s="11" t="str">
        <x:v>外部独立电源 / 线束</x:v>
      </x:c>
      <x:c r="M18" s="11" t="str">
        <x:v>https://www.analog.com/media/en/technical-documentation/data-sheets/ad7606c-16.pdf</x:v>
      </x:c>
      <x:c r="N18" s="11" t="str">
        <x:v>授权渠道待选；不默认替代</x:v>
      </x:c>
      <x:c r="O18" s="11" t="str">
        <x:v>Rev.A</x:v>
      </x:c>
      <x:c r="P18" s="11" t="str">
        <x:v>2026-10-11</x:v>
      </x:c>
      <x:c r="Q18" s="11" t="str">
        <x:v>DESIGN_SELECTED_DEVICE_DIRECTION_ELECTRICAL_HOLD</x:v>
      </x:c>
      <x:c r="R18" s="11" t="str">
        <x:v>User v5 scope; no procurement permission</x:v>
      </x:c>
      <x:c r="S18" s="11" t="str">
        <x:v>50mA max AVCC1MSPS data-sheet envelope only; add VDRIVE/reference/AFE/startup; not measured central budget</x:v>
      </x:c>
      <x:c r="T18" s="11" t="str">
        <x:v>UNKNOWN</x:v>
      </x:c>
      <x:c r="U18" s="11" t="str">
        <x:v>外部配件</x:v>
      </x:c>
      <x:c r="V18" s="11" t="str">
        <x:v>HOLD</x:v>
      </x:c>
    </x:row>
    <x:row r="19" ht="64" customHeight="1">
      <x:c r="A19" s="11" t="str">
        <x:v>B-015</x:v>
      </x:c>
      <x:c r="B19" s="11" t="str">
        <x:v>ADC RC输入限流/缓冲网络</x:v>
      </x:c>
      <x:c r="C19" s="11" t="str">
        <x:v>47Ω+1nF C0G 组合</x:v>
      </x:c>
      <x:c r="D19" s="11" t="str">
        <x:v>UNKNOWN_VERIFY</x:v>
      </x:c>
      <x:c r="E19" s="13" t="n">
        <x:v>0</x:v>
      </x:c>
      <x:c r="F19" s="14" t="n">
        <x:v>0.1</x:v>
      </x:c>
      <x:c r="G19" s="13" t="n">
        <x:f>ROUNDUP(E19*(1+F19),0)</x:f>
        <x:v>0</x:v>
      </x:c>
      <x:c r="H19" s="11" t="str"/>
      <x:c r="I19" s="11" t="str">
        <x:v>离散; Pin1/EP原生库待核</x:v>
      </x:c>
      <x:c r="J19" s="11" t="str">
        <x:v>8路; 初值非最终ADC驱动网络</x:v>
      </x:c>
      <x:c r="K19" s="11" t="str">
        <x:v>UNKNOWN</x:v>
      </x:c>
      <x:c r="L19" s="11" t="str">
        <x:v>外部独立电源 / 线束</x:v>
      </x:c>
      <x:c r="M19" s="11" t="str">
        <x:v>https://www.analog.com/en/products/ad7606b.html</x:v>
      </x:c>
      <x:c r="N19" s="11" t="str">
        <x:v>授权渠道待选；不默认替代</x:v>
      </x:c>
      <x:c r="O19" s="11" t="str">
        <x:v>UNKNOWN_VERIFY</x:v>
      </x:c>
      <x:c r="P19" s="11" t="str">
        <x:v>2026-10-11</x:v>
      </x:c>
      <x:c r="Q19" s="11" t="str">
        <x:v>INHERITED_CANDIDATE_REQUIRES_NATIVE_PIN_REVIEW</x:v>
      </x:c>
      <x:c r="R19" s="11" t="str">
        <x:v>User v5 scope; no procurement permission</x:v>
      </x:c>
      <x:c r="S19" s="11" t="str">
        <x:v>Inherited candidate quantity; netlist/thermal review pending</x:v>
      </x:c>
      <x:c r="T19" s="11" t="str">
        <x:v>UNKNOWN</x:v>
      </x:c>
      <x:c r="U19" s="11" t="str">
        <x:v>外部配件</x:v>
      </x:c>
      <x:c r="V19" s="11" t="str">
        <x:v>HOLD</x:v>
      </x:c>
    </x:row>
    <x:row r="20" ht="64" customHeight="1">
      <x:c r="A20" s="11" t="str">
        <x:v>B-016</x:v>
      </x:c>
      <x:c r="B20" s="11" t="str">
        <x:v>ADC基准去耦/配置网络</x:v>
      </x:c>
      <x:c r="C20" s="11" t="str">
        <x:v>AD7606C16_REFERENCE_DECOUPLING_ALLOCATION</x:v>
      </x:c>
      <x:c r="D20" s="11" t="str">
        <x:v>UNKNOWN_VERIFY</x:v>
      </x:c>
      <x:c r="E20" s="13" t="n">
        <x:v>0</x:v>
      </x:c>
      <x:c r="F20" s="14" t="n">
        <x:v>0.1</x:v>
      </x:c>
      <x:c r="G20" s="13" t="n">
        <x:f>ROUNDUP(E20*(1+F20),0)</x:f>
        <x:v>0</x:v>
      </x:c>
      <x:c r="H20" s="11" t="str"/>
      <x:c r="I20" s="11" t="str">
        <x:v>ALLOCATION_NOTE_NOT_A_PHYSICAL_COMPONENT; Pin1/EP原生库待核</x:v>
      </x:c>
      <x:c r="J20" s="11" t="str">
        <x:v>按ADI推荐布局；与REF5025 RX偏置区分</x:v>
      </x:c>
      <x:c r="K20" s="11" t="str">
        <x:v>UNKNOWN</x:v>
      </x:c>
      <x:c r="L20" s="11" t="str">
        <x:v>外部独立电源 / 线束</x:v>
      </x:c>
      <x:c r="M20" s="11" t="str">
        <x:v>https://www.analog.com/en/products/ad7606b.html</x:v>
      </x:c>
      <x:c r="N20" s="11" t="str">
        <x:v>授权渠道待选；不默认替代</x:v>
      </x:c>
      <x:c r="O20" s="11" t="str">
        <x:v>UNKNOWN_VERIFY</x:v>
      </x:c>
      <x:c r="P20" s="11" t="str">
        <x:v>2026-10-11</x:v>
      </x:c>
      <x:c r="Q20" s="11" t="str">
        <x:v>INHERITED_CANDIDATE_REQUIRES_NATIVE_PIN_REVIEW</x:v>
      </x:c>
      <x:c r="R20" s="11" t="str">
        <x:v>User v5 scope; no procurement permission</x:v>
      </x:c>
      <x:c r="S20" s="11" t="str">
        <x:v>B047central2: REGCAP36/39 each1uF; B049one: REFCAP44+45 10uF lowESR; B046one REFIN42 100nF and four AVCC bypass; remaining aggregate caps require pin-level allocation</x:v>
      </x:c>
      <x:c r="T20" s="11" t="str">
        <x:v>UNKNOWN</x:v>
      </x:c>
      <x:c r="U20" s="11" t="str">
        <x:v>外部配件</x:v>
      </x:c>
      <x:c r="V20" s="11" t="str">
        <x:v>HOLD</x:v>
      </x:c>
    </x:row>
    <x:row r="21" ht="64" customHeight="1">
      <x:c r="A21" s="11" t="str">
        <x:v>B-017</x:v>
      </x:c>
      <x:c r="B21" s="11" t="str">
        <x:v>温湿度传感器</x:v>
      </x:c>
      <x:c r="C21" s="11" t="str">
        <x:v>SHT45-AD1B-R2</x:v>
      </x:c>
      <x:c r="D21" s="11" t="str">
        <x:v>UNKNOWN_VERIFY</x:v>
      </x:c>
      <x:c r="E21" s="13" t="n">
        <x:v>0</x:v>
      </x:c>
      <x:c r="F21" s="14" t="n">
        <x:v>0.1</x:v>
      </x:c>
      <x:c r="G21" s="13" t="n">
        <x:f>ROUNDUP(E21*(1+F21),0)</x:f>
        <x:v>0</x:v>
      </x:c>
      <x:c r="H21" s="11" t="str"/>
      <x:c r="I21" s="11" t="str">
        <x:v>DFN-4; Pin1/EP原生库待核</x:v>
      </x:c>
      <x:c r="J21" s="11" t="str">
        <x:v>I2C，远离发射功率温升</x:v>
      </x:c>
      <x:c r="K21" s="11" t="str">
        <x:v>UNKNOWN</x:v>
      </x:c>
      <x:c r="L21" s="11" t="str">
        <x:v>外部独立电源 / 线束</x:v>
      </x:c>
      <x:c r="M21" s="11" t="str">
        <x:v>https://sensirion.com/products/catalog/SHT45</x:v>
      </x:c>
      <x:c r="N21" s="11" t="str">
        <x:v>授权渠道待选；不默认替代</x:v>
      </x:c>
      <x:c r="O21" s="11" t="str">
        <x:v>UNKNOWN_VERIFY</x:v>
      </x:c>
      <x:c r="P21" s="11" t="str">
        <x:v>2026-10-11</x:v>
      </x:c>
      <x:c r="Q21" s="11" t="str">
        <x:v>INHERITED_CANDIDATE_REQUIRES_NATIVE_PIN_REVIEW</x:v>
      </x:c>
      <x:c r="R21" s="11" t="str">
        <x:v>User v5 scope; no procurement permission</x:v>
      </x:c>
      <x:c r="S21" s="11" t="str">
        <x:v>SUPERSEDED_OR_OPTIONAL_DNP: see new H entries; not installed twice</x:v>
      </x:c>
      <x:c r="T21" s="11" t="str">
        <x:v>UNKNOWN</x:v>
      </x:c>
      <x:c r="U21" s="11" t="str">
        <x:v>外部配件</x:v>
      </x:c>
      <x:c r="V21" s="11" t="str">
        <x:v>HOLD</x:v>
      </x:c>
    </x:row>
    <x:row r="22" ht="64" customHeight="1">
      <x:c r="A22" s="11" t="str">
        <x:v>B-018</x:v>
      </x:c>
      <x:c r="B22" s="11" t="str">
        <x:v>独立12V电源输入座</x:v>
      </x:c>
      <x:c r="C22" s="11" t="str">
        <x:v>XT30PW-M30.G.Y</x:v>
      </x:c>
      <x:c r="D22" s="11" t="str">
        <x:v>UNKNOWN_VERIFY</x:v>
      </x:c>
      <x:c r="E22" s="13" t="n">
        <x:v>0</x:v>
      </x:c>
      <x:c r="F22" s="14" t="n">
        <x:v>0.1</x:v>
      </x:c>
      <x:c r="G22" s="13" t="n">
        <x:f>ROUNDUP(E22*(1+F22),0)</x:f>
        <x:v>0</x:v>
      </x:c>
      <x:c r="H22" s="11" t="str"/>
      <x:c r="I22" s="11" t="str">
        <x:v>THT; Pin1/EP原生库待核</x:v>
      </x:c>
      <x:c r="J22" s="11" t="str">
        <x:v>每阵列专属PWR_UP_IN/PWR_LO_IN；不得从J10/J11取功率</x:v>
      </x:c>
      <x:c r="K22" s="11" t="str">
        <x:v>UNKNOWN</x:v>
      </x:c>
      <x:c r="L22" s="11" t="str">
        <x:v>外部独立电源 / 线束</x:v>
      </x:c>
      <x:c r="M22" s="11" t="str">
        <x:v>https://www.lcsc.com</x:v>
      </x:c>
      <x:c r="N22" s="11" t="str">
        <x:v>授权渠道待选；不默认替代</x:v>
      </x:c>
      <x:c r="O22" s="11" t="str">
        <x:v>UNKNOWN_VERIFY</x:v>
      </x:c>
      <x:c r="P22" s="11" t="str">
        <x:v>2026-10-11</x:v>
      </x:c>
      <x:c r="Q22" s="11" t="str">
        <x:v>INHERITED_CANDIDATE_REQUIRES_NATIVE_PIN_REVIEW</x:v>
      </x:c>
      <x:c r="R22" s="11" t="str">
        <x:v>User v5 scope; no procurement permission</x:v>
      </x:c>
      <x:c r="S22" s="11" t="str">
        <x:v>SUPERSEDED_OR_OPTIONAL_DNP: see new H entries; not installed twice</x:v>
      </x:c>
      <x:c r="T22" s="11" t="str">
        <x:v>UNKNOWN</x:v>
      </x:c>
      <x:c r="U22" s="11" t="str">
        <x:v>外部配件</x:v>
      </x:c>
      <x:c r="V22" s="11" t="str">
        <x:v>HOLD</x:v>
      </x:c>
    </x:row>
    <x:row r="23" ht="64" customHeight="1">
      <x:c r="A23" s="11" t="str">
        <x:v>B-019</x:v>
      </x:c>
      <x:c r="B23" s="11" t="str">
        <x:v>中央辅助电源接口</x:v>
      </x:c>
      <x:c r="C23" s="11" t="str">
        <x:v>XT30PW-M30.G.Y</x:v>
      </x:c>
      <x:c r="D23" s="11" t="str">
        <x:v>UNKNOWN_VERIFY</x:v>
      </x:c>
      <x:c r="E23" s="13" t="n">
        <x:v>0</x:v>
      </x:c>
      <x:c r="F23" s="14" t="n">
        <x:v>0.1</x:v>
      </x:c>
      <x:c r="G23" s="13" t="n">
        <x:f>ROUNDUP(E23*(1+F23),0)</x:f>
        <x:v>0</x:v>
      </x:c>
      <x:c r="H23" s="11" t="str"/>
      <x:c r="I23" s="11" t="str">
        <x:v>THT; Pin1/EP原生库待核</x:v>
      </x:c>
      <x:c r="J23" s="11" t="str">
        <x:v>为中央ADC与辅助逻辑提供独立电源；AX7020开发板自带电源独立</x:v>
      </x:c>
      <x:c r="K23" s="11" t="str">
        <x:v>UNKNOWN</x:v>
      </x:c>
      <x:c r="L23" s="11" t="str">
        <x:v>外部独立电源 / 线束</x:v>
      </x:c>
      <x:c r="M23" s="11" t="str">
        <x:v>https://www.lcsc.com</x:v>
      </x:c>
      <x:c r="N23" s="11" t="str">
        <x:v>授权渠道待选；不默认替代</x:v>
      </x:c>
      <x:c r="O23" s="11" t="str">
        <x:v>UNKNOWN_VERIFY</x:v>
      </x:c>
      <x:c r="P23" s="11" t="str">
        <x:v>2026-10-11</x:v>
      </x:c>
      <x:c r="Q23" s="11" t="str">
        <x:v>INHERITED_CANDIDATE_REQUIRES_NATIVE_PIN_REVIEW</x:v>
      </x:c>
      <x:c r="R23" s="11" t="str">
        <x:v>User v5 scope; no procurement permission</x:v>
      </x:c>
      <x:c r="S23" s="11" t="str">
        <x:v>Removed central external power path; central AX7020-only source</x:v>
      </x:c>
      <x:c r="T23" s="11" t="str">
        <x:v>UNKNOWN</x:v>
      </x:c>
      <x:c r="U23" s="11" t="str">
        <x:v>外部配件</x:v>
      </x:c>
      <x:c r="V23" s="11" t="str">
        <x:v>HOLD</x:v>
      </x:c>
    </x:row>
    <x:row r="24" ht="64" customHeight="1">
      <x:c r="A24" s="11" t="str">
        <x:v>B-020</x:v>
      </x:c>
      <x:c r="B24" s="11" t="str">
        <x:v>正向/反向/过流eFuse</x:v>
      </x:c>
      <x:c r="C24" s="11" t="str">
        <x:v>TPS259470LRPWR</x:v>
      </x:c>
      <x:c r="D24" s="11" t="str">
        <x:v>UNKNOWN_VERIFY</x:v>
      </x:c>
      <x:c r="E24" s="13" t="n">
        <x:v>0</x:v>
      </x:c>
      <x:c r="F24" s="14" t="n">
        <x:v>0.1</x:v>
      </x:c>
      <x:c r="G24" s="13" t="n">
        <x:f>ROUNDUP(E24*(1+F24),0)</x:f>
        <x:v>0</x:v>
      </x:c>
      <x:c r="H24" s="11" t="str"/>
      <x:c r="I24" s="11" t="str">
        <x:v>VQFN-10; Pin1/EP原生库待核</x:v>
      </x:c>
      <x:c r="J24" s="11" t="str">
        <x:v>三路电源各自配置ILIM/OVLO；历史2A只是候选</x:v>
      </x:c>
      <x:c r="K24" s="11" t="str">
        <x:v>UNKNOWN</x:v>
      </x:c>
      <x:c r="L24" s="11" t="str">
        <x:v>外部独立电源 / 线束</x:v>
      </x:c>
      <x:c r="M24" s="11" t="str">
        <x:v>https://www.ti.com/product/TPS25947</x:v>
      </x:c>
      <x:c r="N24" s="11" t="str">
        <x:v>授权渠道待选；不默认替代</x:v>
      </x:c>
      <x:c r="O24" s="11" t="str">
        <x:v>UNKNOWN_VERIFY</x:v>
      </x:c>
      <x:c r="P24" s="11" t="str">
        <x:v>2026-10-11</x:v>
      </x:c>
      <x:c r="Q24" s="11" t="str">
        <x:v>INHERITED_CANDIDATE_REQUIRES_NATIVE_PIN_REVIEW</x:v>
      </x:c>
      <x:c r="R24" s="11" t="str">
        <x:v>User v5 scope; no procurement permission</x:v>
      </x:c>
      <x:c r="S24" s="11" t="str">
        <x:v>SUPERSEDED_OR_OPTIONAL_DNP: see new H entries; not installed twice</x:v>
      </x:c>
      <x:c r="T24" s="11" t="str">
        <x:v>UNKNOWN</x:v>
      </x:c>
      <x:c r="U24" s="11" t="str">
        <x:v>外部配件</x:v>
      </x:c>
      <x:c r="V24" s="11" t="str">
        <x:v>HOLD</x:v>
      </x:c>
    </x:row>
    <x:row r="25" ht="64" customHeight="1">
      <x:c r="A25" s="11" t="str">
        <x:v>B-021</x:v>
      </x:c>
      <x:c r="B25" s="11" t="str">
        <x:v>电源监控IC</x:v>
      </x:c>
      <x:c r="C25" s="11" t="str">
        <x:v>INA226AIDGSR</x:v>
      </x:c>
      <x:c r="D25" s="11" t="str">
        <x:v>UNKNOWN_VERIFY</x:v>
      </x:c>
      <x:c r="E25" s="13" t="n">
        <x:v>0</x:v>
      </x:c>
      <x:c r="F25" s="14" t="n">
        <x:v>0.1</x:v>
      </x:c>
      <x:c r="G25" s="13" t="n">
        <x:f>ROUNDUP(E25*(1+F25),0)</x:f>
        <x:v>0</x:v>
      </x:c>
      <x:c r="H25" s="11" t="str"/>
      <x:c r="I25" s="11" t="str">
        <x:v>VSSOP-10; Pin1/EP原生库待核</x:v>
      </x:c>
      <x:c r="J25" s="11" t="str">
        <x:v>两阵列+中央各一颗，shunt实际功耗需核算</x:v>
      </x:c>
      <x:c r="K25" s="11" t="str">
        <x:v>UNKNOWN</x:v>
      </x:c>
      <x:c r="L25" s="11" t="str">
        <x:v>外部独立电源 / 线束</x:v>
      </x:c>
      <x:c r="M25" s="11" t="str">
        <x:v>https://www.ti.com/product/INA226</x:v>
      </x:c>
      <x:c r="N25" s="11" t="str">
        <x:v>授权渠道待选；不默认替代</x:v>
      </x:c>
      <x:c r="O25" s="11" t="str">
        <x:v>UNKNOWN_VERIFY</x:v>
      </x:c>
      <x:c r="P25" s="11" t="str">
        <x:v>2026-10-11</x:v>
      </x:c>
      <x:c r="Q25" s="11" t="str">
        <x:v>INHERITED_CANDIDATE_REQUIRES_NATIVE_PIN_REVIEW</x:v>
      </x:c>
      <x:c r="R25" s="11" t="str">
        <x:v>User v5 scope; no procurement permission</x:v>
      </x:c>
      <x:c r="S25" s="11" t="str">
        <x:v>Inherited candidate quantity; netlist/thermal review pending</x:v>
      </x:c>
      <x:c r="T25" s="11" t="str">
        <x:v>UNKNOWN</x:v>
      </x:c>
      <x:c r="U25" s="11" t="str">
        <x:v>外部配件</x:v>
      </x:c>
      <x:c r="V25" s="11" t="str">
        <x:v>HOLD</x:v>
      </x:c>
    </x:row>
    <x:row r="26" ht="64" customHeight="1">
      <x:c r="A26" s="11" t="str">
        <x:v>B-022</x:v>
      </x:c>
      <x:c r="B26" s="11" t="str">
        <x:v>低值分流电阻</x:v>
      </x:c>
      <x:c r="C26" s="11" t="str">
        <x:v>20mΩ 2512 1% 2W</x:v>
      </x:c>
      <x:c r="D26" s="11" t="str">
        <x:v>UNKNOWN_VERIFY</x:v>
      </x:c>
      <x:c r="E26" s="13" t="n">
        <x:v>0</x:v>
      </x:c>
      <x:c r="F26" s="14" t="n">
        <x:v>0.1</x:v>
      </x:c>
      <x:c r="G26" s="13" t="n">
        <x:f>ROUNDUP(E26*(1+F26),0)</x:f>
        <x:v>0</x:v>
      </x:c>
      <x:c r="H26" s="11" t="str"/>
      <x:c r="I26" s="11" t="str">
        <x:v>2512; Pin1/EP原生库待核</x:v>
      </x:c>
      <x:c r="J26" s="11" t="str">
        <x:v>20mΩ：INA226电流测量满量程约±4.096A</x:v>
      </x:c>
      <x:c r="K26" s="11" t="str">
        <x:v>UNKNOWN</x:v>
      </x:c>
      <x:c r="L26" s="11" t="str">
        <x:v>外部独立电源 / 线束</x:v>
      </x:c>
      <x:c r="M26" s="11" t="str">
        <x:v>https://www.lcsc.com</x:v>
      </x:c>
      <x:c r="N26" s="11" t="str">
        <x:v>授权渠道待选；不默认替代</x:v>
      </x:c>
      <x:c r="O26" s="11" t="str">
        <x:v>UNKNOWN_VERIFY</x:v>
      </x:c>
      <x:c r="P26" s="11" t="str">
        <x:v>2026-10-11</x:v>
      </x:c>
      <x:c r="Q26" s="11" t="str">
        <x:v>INHERITED_CANDIDATE_REQUIRES_NATIVE_PIN_REVIEW</x:v>
      </x:c>
      <x:c r="R26" s="11" t="str">
        <x:v>User v5 scope; no procurement permission</x:v>
      </x:c>
      <x:c r="S26" s="11" t="str">
        <x:v>Inherited candidate quantity; netlist/thermal review pending</x:v>
      </x:c>
      <x:c r="T26" s="11" t="str">
        <x:v>UNKNOWN</x:v>
      </x:c>
      <x:c r="U26" s="11" t="str">
        <x:v>外部配件</x:v>
      </x:c>
      <x:c r="V26" s="11" t="str">
        <x:v>HOLD</x:v>
      </x:c>
    </x:row>
    <x:row r="27" ht="64" customHeight="1">
      <x:c r="A27" s="11" t="str">
        <x:v>B-023</x:v>
      </x:c>
      <x:c r="B27" s="11" t="str">
        <x:v>输入TVS</x:v>
      </x:c>
      <x:c r="C27" s="11" t="str">
        <x:v>SMBJ20A 类</x:v>
      </x:c>
      <x:c r="D27" s="11" t="str">
        <x:v>UNKNOWN_VERIFY</x:v>
      </x:c>
      <x:c r="E27" s="13" t="n">
        <x:v>0</x:v>
      </x:c>
      <x:c r="F27" s="14" t="n">
        <x:v>0.1</x:v>
      </x:c>
      <x:c r="G27" s="13" t="n">
        <x:f>ROUNDUP(E27*(1+F27),0)</x:f>
        <x:v>0</x:v>
      </x:c>
      <x:c r="H27" s="11" t="str"/>
      <x:c r="I27" s="11" t="str">
        <x:v>SMB; Pin1/EP原生库待核</x:v>
      </x:c>
      <x:c r="J27" s="11" t="str">
        <x:v>SMBJ20A候选撤销释放；32.4V钳位高于eFuse28V abs max</x:v>
      </x:c>
      <x:c r="K27" s="11" t="str">
        <x:v>UNKNOWN</x:v>
      </x:c>
      <x:c r="L27" s="11" t="str">
        <x:v>外部独立电源 / 线束</x:v>
      </x:c>
      <x:c r="M27" s="11" t="str">
        <x:v>https://www.littelfuse.com/products/tvs-diodes/smbj.aspx</x:v>
      </x:c>
      <x:c r="N27" s="11" t="str">
        <x:v>授权渠道待选；不默认替代</x:v>
      </x:c>
      <x:c r="O27" s="11" t="str">
        <x:v>UNKNOWN_VERIFY</x:v>
      </x:c>
      <x:c r="P27" s="11" t="str">
        <x:v>2026-10-11</x:v>
      </x:c>
      <x:c r="Q27" s="11" t="str">
        <x:v>INHERITED_CANDIDATE_REQUIRES_NATIVE_PIN_REVIEW</x:v>
      </x:c>
      <x:c r="R27" s="11" t="str">
        <x:v>User v5 scope; no procurement permission</x:v>
      </x:c>
      <x:c r="S27" s="11" t="str">
        <x:v>Old SMBJ20A removed from installed candidate; replacement requires clamp/energy proof</x:v>
      </x:c>
      <x:c r="T27" s="11" t="str">
        <x:v>UNKNOWN</x:v>
      </x:c>
      <x:c r="U27" s="11" t="str">
        <x:v>外部配件</x:v>
      </x:c>
      <x:c r="V27" s="11" t="str">
        <x:v>HOLD</x:v>
      </x:c>
    </x:row>
    <x:row r="28" ht="64" customHeight="1">
      <x:c r="A28" s="11" t="str">
        <x:v>B-024</x:v>
      </x:c>
      <x:c r="B28" s="11" t="str">
        <x:v>独立熔断器及座</x:v>
      </x:c>
      <x:c r="C28" s="11" t="str">
        <x:v>2A 慢断候选，具体值TBD</x:v>
      </x:c>
      <x:c r="D28" s="11" t="str">
        <x:v>UNKNOWN_VERIFY</x:v>
      </x:c>
      <x:c r="E28" s="13" t="n">
        <x:v>0</x:v>
      </x:c>
      <x:c r="F28" s="14" t="n">
        <x:v>0.1</x:v>
      </x:c>
      <x:c r="G28" s="13" t="n">
        <x:f>ROUNDUP(E28*(1+F28),0)</x:f>
        <x:v>0</x:v>
      </x:c>
      <x:c r="H28" s="11" t="str"/>
      <x:c r="I28" s="11" t="str">
        <x:v>TBD; Pin1/EP原生库待核</x:v>
      </x:c>
      <x:c r="J28" s="11" t="str">
        <x:v>3路/需按实测峰值选值</x:v>
      </x:c>
      <x:c r="K28" s="11" t="str">
        <x:v>UNKNOWN</x:v>
      </x:c>
      <x:c r="L28" s="11" t="str">
        <x:v>外部独立电源 / 线束</x:v>
      </x:c>
      <x:c r="M28" s="11" t="str">
        <x:v>https://www.lcsc.com</x:v>
      </x:c>
      <x:c r="N28" s="11" t="str">
        <x:v>授权渠道待选；不默认替代</x:v>
      </x:c>
      <x:c r="O28" s="11" t="str">
        <x:v>UNKNOWN_VERIFY</x:v>
      </x:c>
      <x:c r="P28" s="11" t="str">
        <x:v>2026-10-11</x:v>
      </x:c>
      <x:c r="Q28" s="11" t="str">
        <x:v>INHERITED_CANDIDATE_REQUIRES_NATIVE_PIN_REVIEW</x:v>
      </x:c>
      <x:c r="R28" s="11" t="str">
        <x:v>User v5 scope; no procurement permission</x:v>
      </x:c>
      <x:c r="S28" s="11" t="str">
        <x:v>Old eFuse removed; TPS26631 path below is new candidate</x:v>
      </x:c>
      <x:c r="T28" s="11" t="str">
        <x:v>UNKNOWN</x:v>
      </x:c>
      <x:c r="U28" s="11" t="str">
        <x:v>外部配件</x:v>
      </x:c>
      <x:c r="V28" s="11" t="str">
        <x:v>HOLD</x:v>
      </x:c>
    </x:row>
    <x:row r="29" ht="64" customHeight="1">
      <x:c r="A29" s="11" t="str">
        <x:v>B-025</x:v>
      </x:c>
      <x:c r="B29" s="11" t="str">
        <x:v>板级电源总开关/硬件急停输入</x:v>
      </x:c>
      <x:c r="C29" s="11" t="str">
        <x:v>E-STOP接口 + NC触点/继电开关待定</x:v>
      </x:c>
      <x:c r="D29" s="11" t="str">
        <x:v>UNKNOWN_VERIFY</x:v>
      </x:c>
      <x:c r="E29" s="13" t="n">
        <x:v>0</x:v>
      </x:c>
      <x:c r="F29" s="14" t="n">
        <x:v>0.1</x:v>
      </x:c>
      <x:c r="G29" s="13" t="n">
        <x:f>ROUNDUP(E29*(1+F29),0)</x:f>
        <x:v>0</x:v>
      </x:c>
      <x:c r="H29" s="11" t="str"/>
      <x:c r="I29" s="11" t="str">
        <x:v>TBD; Pin1/EP原生库待核</x:v>
      </x:c>
      <x:c r="J29" s="11" t="str">
        <x:v>硬件切断driver enable或电源域，二选一/组合实测</x:v>
      </x:c>
      <x:c r="K29" s="11" t="str">
        <x:v>UNKNOWN</x:v>
      </x:c>
      <x:c r="L29" s="11" t="str">
        <x:v>外部独立电源 / 线束</x:v>
      </x:c>
      <x:c r="M29" s="11" t="str">
        <x:v>https://www.ti.com/product/TPS25947</x:v>
      </x:c>
      <x:c r="N29" s="11" t="str">
        <x:v>授权渠道待选；不默认替代</x:v>
      </x:c>
      <x:c r="O29" s="11" t="str">
        <x:v>UNKNOWN_VERIFY</x:v>
      </x:c>
      <x:c r="P29" s="11" t="str">
        <x:v>2026-10-11</x:v>
      </x:c>
      <x:c r="Q29" s="11" t="str">
        <x:v>INHERITED_CANDIDATE_REQUIRES_NATIVE_PIN_REVIEW</x:v>
      </x:c>
      <x:c r="R29" s="11" t="str">
        <x:v>User v5 scope; no procurement permission</x:v>
      </x:c>
      <x:c r="S29" s="11" t="str">
        <x:v>Inherited candidate quantity; netlist/thermal review pending</x:v>
      </x:c>
      <x:c r="T29" s="11" t="str">
        <x:v>UNKNOWN</x:v>
      </x:c>
      <x:c r="U29" s="11" t="str">
        <x:v>外部配件</x:v>
      </x:c>
      <x:c r="V29" s="11" t="str">
        <x:v>HOLD</x:v>
      </x:c>
    </x:row>
    <x:row r="30" ht="64" customHeight="1">
      <x:c r="A30" s="11" t="str">
        <x:v>B-026</x:v>
      </x:c>
      <x:c r="B30" s="11" t="str">
        <x:v>本地PGOOD与FAULT反馈电路</x:v>
      </x:c>
      <x:c r="C30" s="11" t="str">
        <x:v>开漏/拉升/隔离网络 TBD</x:v>
      </x:c>
      <x:c r="D30" s="11" t="str">
        <x:v>UNKNOWN_VERIFY</x:v>
      </x:c>
      <x:c r="E30" s="13" t="n">
        <x:v>0</x:v>
      </x:c>
      <x:c r="F30" s="14" t="n">
        <x:v>0.1</x:v>
      </x:c>
      <x:c r="G30" s="13" t="n">
        <x:f>ROUNDUP(E30*(1+F30),0)</x:f>
        <x:v>0</x:v>
      </x:c>
      <x:c r="H30" s="11" t="str"/>
      <x:c r="I30" s="11" t="str">
        <x:v>离散; Pin1/EP原生库待核</x:v>
      </x:c>
      <x:c r="J30" s="11" t="str">
        <x:v>每板输出LOCAL_PGOOD/LOCAL_FAULT</x:v>
      </x:c>
      <x:c r="K30" s="11" t="str">
        <x:v>UNKNOWN</x:v>
      </x:c>
      <x:c r="L30" s="11" t="str">
        <x:v>外部独立电源 / 线束</x:v>
      </x:c>
      <x:c r="M30" s="11" t="str">
        <x:v>https://www.ti.com/product/SN74AXC8T245</x:v>
      </x:c>
      <x:c r="N30" s="11" t="str">
        <x:v>授权渠道待选；不默认替代</x:v>
      </x:c>
      <x:c r="O30" s="11" t="str">
        <x:v>UNKNOWN_VERIFY</x:v>
      </x:c>
      <x:c r="P30" s="11" t="str">
        <x:v>2026-10-11</x:v>
      </x:c>
      <x:c r="Q30" s="11" t="str">
        <x:v>INHERITED_CANDIDATE_REQUIRES_NATIVE_PIN_REVIEW</x:v>
      </x:c>
      <x:c r="R30" s="11" t="str">
        <x:v>User v5 scope; no procurement permission</x:v>
      </x:c>
      <x:c r="S30" s="11" t="str">
        <x:v>Inherited candidate quantity; netlist/thermal review pending</x:v>
      </x:c>
      <x:c r="T30" s="11" t="str">
        <x:v>UNKNOWN</x:v>
      </x:c>
      <x:c r="U30" s="11" t="str">
        <x:v>外部配件</x:v>
      </x:c>
      <x:c r="V30" s="11" t="str">
        <x:v>HOLD</x:v>
      </x:c>
    </x:row>
    <x:row r="31" ht="64" customHeight="1">
      <x:c r="A31" s="11" t="str">
        <x:v>B-027</x:v>
      </x:c>
      <x:c r="B31" s="11" t="str">
        <x:v>3.3V数字电源DC/DC</x:v>
      </x:c>
      <x:c r="C31" s="11" t="str">
        <x:v>TPS54202DDCR</x:v>
      </x:c>
      <x:c r="D31" s="11" t="str">
        <x:v>Texas Instruments</x:v>
      </x:c>
      <x:c r="E31" s="13" t="n">
        <x:v>0</x:v>
      </x:c>
      <x:c r="F31" s="14" t="n">
        <x:v>0.1</x:v>
      </x:c>
      <x:c r="G31" s="13" t="n">
        <x:f>ROUNDUP(E31*(1+F31),0)</x:f>
        <x:v>0</x:v>
      </x:c>
      <x:c r="H31" s="11" t="str"/>
      <x:c r="I31" s="11" t="str">
        <x:v>SOT23_6_DDC; Pin1/EP原生库待核</x:v>
      </x:c>
      <x:c r="J31" s="11" t="str">
        <x:v>每板12V→3.3V；负载核验</x:v>
      </x:c>
      <x:c r="K31" s="11" t="str">
        <x:v>UNKNOWN</x:v>
      </x:c>
      <x:c r="L31" s="11" t="str">
        <x:v>外部独立电源 / 线束</x:v>
      </x:c>
      <x:c r="M31" s="11" t="str">
        <x:v>https://www.ti.com/lit/ds/symlink/tps54202.pdf</x:v>
      </x:c>
      <x:c r="N31" s="11" t="str">
        <x:v>授权渠道待选；不默认替代</x:v>
      </x:c>
      <x:c r="O31" s="11" t="str">
        <x:v>UNKNOWN_VERIFY</x:v>
      </x:c>
      <x:c r="P31" s="11" t="str">
        <x:v>2026-10-11</x:v>
      </x:c>
      <x:c r="Q31" s="11" t="str">
        <x:v>INHERITED_CANDIDATE_REQUIRES_NATIVE_PIN_REVIEW</x:v>
      </x:c>
      <x:c r="R31" s="11" t="str">
        <x:v>User v5 scope; no procurement permission</x:v>
      </x:c>
      <x:c r="S31" s="11" t="str">
        <x:v>12V to 3.3V digital; L/C/thermal/EMI design HOLD</x:v>
      </x:c>
      <x:c r="T31" s="11" t="str">
        <x:v>UNKNOWN</x:v>
      </x:c>
      <x:c r="U31" s="11" t="str">
        <x:v>外部配件</x:v>
      </x:c>
      <x:c r="V31" s="11" t="str">
        <x:v>HOLD</x:v>
      </x:c>
    </x:row>
    <x:row r="32" ht="64" customHeight="1">
      <x:c r="A32" s="11" t="str">
        <x:v>B-028</x:v>
      </x:c>
      <x:c r="B32" s="11" t="str">
        <x:v>5.5V可调DC/DC</x:v>
      </x:c>
      <x:c r="C32" s="11" t="str">
        <x:v>TPS54202DDCR</x:v>
      </x:c>
      <x:c r="D32" s="11" t="str">
        <x:v>Texas Instruments</x:v>
      </x:c>
      <x:c r="E32" s="13" t="n">
        <x:v>0</x:v>
      </x:c>
      <x:c r="F32" s="14" t="n">
        <x:v>0.1</x:v>
      </x:c>
      <x:c r="G32" s="13" t="n">
        <x:f>ROUNDUP(E32*(1+F32),0)</x:f>
        <x:v>0</x:v>
      </x:c>
      <x:c r="H32" s="11" t="str"/>
      <x:c r="I32" s="11" t="str">
        <x:v>SOT23_6_DDC; Pin1/EP原生库待核</x:v>
      </x:c>
      <x:c r="J32" s="11" t="str">
        <x:v>5.5V预稳压+5V LDO；按实际负载核验</x:v>
      </x:c>
      <x:c r="K32" s="11" t="str">
        <x:v>UNKNOWN</x:v>
      </x:c>
      <x:c r="L32" s="11" t="str">
        <x:v>外部独立电源 / 线束</x:v>
      </x:c>
      <x:c r="M32" s="11" t="str">
        <x:v>https://www.ti.com/lit/ds/symlink/tps54202.pdf</x:v>
      </x:c>
      <x:c r="N32" s="11" t="str">
        <x:v>授权渠道待选；不默认替代</x:v>
      </x:c>
      <x:c r="O32" s="11" t="str">
        <x:v>UNKNOWN_VERIFY</x:v>
      </x:c>
      <x:c r="P32" s="11" t="str">
        <x:v>2026-10-11</x:v>
      </x:c>
      <x:c r="Q32" s="11" t="str">
        <x:v>INHERITED_CANDIDATE_REQUIRES_NATIVE_PIN_REVIEW</x:v>
      </x:c>
      <x:c r="R32" s="11" t="str">
        <x:v>User v5 scope; no procurement permission</x:v>
      </x:c>
      <x:c r="S32" s="11" t="str">
        <x:v>12V to 5.5V then existing5V AFE LDO; L/C/thermal/EMI design HOLD</x:v>
      </x:c>
      <x:c r="T32" s="11" t="str">
        <x:v>UNKNOWN</x:v>
      </x:c>
      <x:c r="U32" s="11" t="str">
        <x:v>外部配件</x:v>
      </x:c>
      <x:c r="V32" s="11" t="str">
        <x:v>HOLD</x:v>
      </x:c>
    </x:row>
    <x:row r="33" ht="64" customHeight="1">
      <x:c r="A33" s="11" t="str">
        <x:v>B-029</x:v>
      </x:c>
      <x:c r="B33" s="11" t="str">
        <x:v>5V低噪声LDO</x:v>
      </x:c>
      <x:c r="C33" s="11" t="str">
        <x:v>ADP7118ACPZN5.0-R7</x:v>
      </x:c>
      <x:c r="D33" s="11" t="str">
        <x:v>UNKNOWN_VERIFY</x:v>
      </x:c>
      <x:c r="E33" s="13" t="n">
        <x:v>0</x:v>
      </x:c>
      <x:c r="F33" s="14" t="n">
        <x:v>0.1</x:v>
      </x:c>
      <x:c r="G33" s="13" t="n">
        <x:f>ROUNDUP(E33*(1+F33),0)</x:f>
        <x:v>0</x:v>
      </x:c>
      <x:c r="H33" s="11" t="str"/>
      <x:c r="I33" s="11" t="str">
        <x:v>LFCSP-6 / CP-6-3 (EP=GND); Pin1/EP原生库待核</x:v>
      </x:c>
      <x:c r="J33" s="11" t="str">
        <x:v>输出能力/热耗按精确封装与Iload审核</x:v>
      </x:c>
      <x:c r="K33" s="11" t="str">
        <x:v>UNKNOWN</x:v>
      </x:c>
      <x:c r="L33" s="11" t="str">
        <x:v>外部独立电源 / 线束</x:v>
      </x:c>
      <x:c r="M33" s="11" t="str">
        <x:v>https://www.analog.com/en/products/adp7118.html</x:v>
      </x:c>
      <x:c r="N33" s="11" t="str">
        <x:v>授权渠道待选；不默认替代</x:v>
      </x:c>
      <x:c r="O33" s="11" t="str">
        <x:v>UNKNOWN_VERIFY</x:v>
      </x:c>
      <x:c r="P33" s="11" t="str">
        <x:v>2026-10-11</x:v>
      </x:c>
      <x:c r="Q33" s="11" t="str">
        <x:v>INHERITED_CANDIDATE_REQUIRES_NATIVE_PIN_REVIEW</x:v>
      </x:c>
      <x:c r="R33" s="11" t="str">
        <x:v>User v5 scope; no procurement permission</x:v>
      </x:c>
      <x:c r="S33" s="11" t="str">
        <x:v>No central12V supply/converter or5V-to5V LDO headroom; central header budget HOLD</x:v>
      </x:c>
      <x:c r="T33" s="11" t="str">
        <x:v>UNKNOWN</x:v>
      </x:c>
      <x:c r="U33" s="11" t="str">
        <x:v>外部配件</x:v>
      </x:c>
      <x:c r="V33" s="11" t="str">
        <x:v>HOLD</x:v>
      </x:c>
    </x:row>
    <x:row r="34" ht="64" customHeight="1">
      <x:c r="A34" s="11" t="str">
        <x:v>B-030</x:v>
      </x:c>
      <x:c r="B34" s="11" t="str">
        <x:v>DC/DC功率电感</x:v>
      </x:c>
      <x:c r="C34" s="11" t="str">
        <x:v>6.8µH ≥5A 候选</x:v>
      </x:c>
      <x:c r="D34" s="11" t="str">
        <x:v>UNKNOWN_VERIFY</x:v>
      </x:c>
      <x:c r="E34" s="13" t="n">
        <x:v>0</x:v>
      </x:c>
      <x:c r="F34" s="14" t="n">
        <x:v>0.1</x:v>
      </x:c>
      <x:c r="G34" s="13" t="n">
        <x:f>ROUNDUP(E34*(1+F34),0)</x:f>
        <x:v>0</x:v>
      </x:c>
      <x:c r="H34" s="11" t="str"/>
      <x:c r="I34" s="11" t="str">
        <x:v>SMD; Pin1/EP原生库待核</x:v>
      </x:c>
      <x:c r="J34" s="11" t="str">
        <x:v>两路buck每板2颗</x:v>
      </x:c>
      <x:c r="K34" s="11" t="str">
        <x:v>UNKNOWN</x:v>
      </x:c>
      <x:c r="L34" s="11" t="str">
        <x:v>外部独立电源 / 线束</x:v>
      </x:c>
      <x:c r="M34" s="11" t="str">
        <x:v>https://www.diodes.com/part/view/AP63203</x:v>
      </x:c>
      <x:c r="N34" s="11" t="str">
        <x:v>授权渠道待选；不默认替代</x:v>
      </x:c>
      <x:c r="O34" s="11" t="str">
        <x:v>UNKNOWN_VERIFY</x:v>
      </x:c>
      <x:c r="P34" s="11" t="str">
        <x:v>2026-10-11</x:v>
      </x:c>
      <x:c r="Q34" s="11" t="str">
        <x:v>INHERITED_CANDIDATE_REQUIRES_NATIVE_PIN_REVIEW</x:v>
      </x:c>
      <x:c r="R34" s="11" t="str">
        <x:v>User v5 scope; no procurement permission</x:v>
      </x:c>
      <x:c r="S34" s="11" t="str">
        <x:v>No central12V supply/converter or5V-to5V LDO headroom; central header budget HOLD</x:v>
      </x:c>
      <x:c r="T34" s="11" t="str">
        <x:v>UNKNOWN</x:v>
      </x:c>
      <x:c r="U34" s="11" t="str">
        <x:v>外部配件</x:v>
      </x:c>
      <x:c r="V34" s="11" t="str">
        <x:v>HOLD</x:v>
      </x:c>
    </x:row>
    <x:row r="35" ht="64" customHeight="1">
      <x:c r="A35" s="11" t="str">
        <x:v>B-031</x:v>
      </x:c>
      <x:c r="B35" s="11" t="str">
        <x:v>模拟电源磁珠</x:v>
      </x:c>
      <x:c r="C35" s="11" t="str">
        <x:v>BLM21PG221SN1D</x:v>
      </x:c>
      <x:c r="D35" s="11" t="str">
        <x:v>UNKNOWN_VERIFY</x:v>
      </x:c>
      <x:c r="E35" s="13" t="n">
        <x:v>0</x:v>
      </x:c>
      <x:c r="F35" s="14" t="n">
        <x:v>0.1</x:v>
      </x:c>
      <x:c r="G35" s="13" t="n">
        <x:f>ROUNDUP(E35*(1+F35),0)</x:f>
        <x:v>0</x:v>
      </x:c>
      <x:c r="H35" s="11" t="str"/>
      <x:c r="I35" s="11" t="str">
        <x:v>0805; Pin1/EP原生库待核</x:v>
      </x:c>
      <x:c r="J35" s="11" t="str">
        <x:v>220Ω@100MHz / 2A 标称候选</x:v>
      </x:c>
      <x:c r="K35" s="11" t="str">
        <x:v>UNKNOWN</x:v>
      </x:c>
      <x:c r="L35" s="11" t="str">
        <x:v>外部独立电源 / 线束</x:v>
      </x:c>
      <x:c r="M35" s="11" t="str">
        <x:v>https://www.lcsc.com</x:v>
      </x:c>
      <x:c r="N35" s="11" t="str">
        <x:v>授权渠道待选；不默认替代</x:v>
      </x:c>
      <x:c r="O35" s="11" t="str">
        <x:v>UNKNOWN_VERIFY</x:v>
      </x:c>
      <x:c r="P35" s="11" t="str">
        <x:v>2026-10-11</x:v>
      </x:c>
      <x:c r="Q35" s="11" t="str">
        <x:v>INHERITED_CANDIDATE_REQUIRES_NATIVE_PIN_REVIEW</x:v>
      </x:c>
      <x:c r="R35" s="11" t="str">
        <x:v>User v5 scope; no procurement permission</x:v>
      </x:c>
      <x:c r="S35" s="11" t="str">
        <x:v>Inherited candidate quantity; netlist/thermal review pending</x:v>
      </x:c>
      <x:c r="T35" s="11" t="str">
        <x:v>UNKNOWN</x:v>
      </x:c>
      <x:c r="U35" s="11" t="str">
        <x:v>外部配件</x:v>
      </x:c>
      <x:c r="V35" s="11" t="str">
        <x:v>HOLD</x:v>
      </x:c>
    </x:row>
    <x:row r="36" ht="64" customHeight="1">
      <x:c r="A36" s="11" t="str">
        <x:v>B-032</x:v>
      </x:c>
      <x:c r="B36" s="11" t="str">
        <x:v>PCB板温监测</x:v>
      </x:c>
      <x:c r="C36" s="11" t="str">
        <x:v>TMP117AIDRVR</x:v>
      </x:c>
      <x:c r="D36" s="11" t="str">
        <x:v>Texas Instruments</x:v>
      </x:c>
      <x:c r="E36" s="13" t="n">
        <x:v>0</x:v>
      </x:c>
      <x:c r="F36" s="14" t="n">
        <x:v>0.1</x:v>
      </x:c>
      <x:c r="G36" s="13" t="n">
        <x:f>ROUNDUP(E36*(1+F36),0)</x:f>
        <x:v>0</x:v>
      </x:c>
      <x:c r="H36" s="11" t="str"/>
      <x:c r="I36" s="11" t="str">
        <x:v>WSON-6; Pin1/EP原生库待核</x:v>
      </x:c>
      <x:c r="J36" s="11" t="str">
        <x:v>监测驱动温度，不等于空气温湿度</x:v>
      </x:c>
      <x:c r="K36" s="11" t="str">
        <x:v>UNKNOWN</x:v>
      </x:c>
      <x:c r="L36" s="11" t="str">
        <x:v>外部独立电源 / 线束</x:v>
      </x:c>
      <x:c r="M36" s="11" t="str">
        <x:v>https://www.ti.com/lit/ds/symlink/tmp117.pdf</x:v>
      </x:c>
      <x:c r="N36" s="11" t="str">
        <x:v>授权渠道待选；不默认替代</x:v>
      </x:c>
      <x:c r="O36" s="11" t="str">
        <x:v>Rev.D</x:v>
      </x:c>
      <x:c r="P36" s="11" t="str">
        <x:v>2026-10-11</x:v>
      </x:c>
      <x:c r="Q36" s="11" t="str">
        <x:v>DESIGN_SELECTED_PACKAGE_PIN_REVIEW_HOLD</x:v>
      </x:c>
      <x:c r="R36" s="11" t="str">
        <x:v>User v5 scope; no procurement permission</x:v>
      </x:c>
      <x:c r="S36" s="11" t="str">
        <x:v>3 sensors required; CENTER air representative away from heat; UP0x49/DOWN0x4b/CENTER0x48; read ID/readiness and bounded bus; no temperatureCRC</x:v>
      </x:c>
      <x:c r="T36" s="11" t="str">
        <x:v>UNKNOWN</x:v>
      </x:c>
      <x:c r="U36" s="11" t="str">
        <x:v>外部配件</x:v>
      </x:c>
      <x:c r="V36" s="11" t="str">
        <x:v>HOLD</x:v>
      </x:c>
    </x:row>
    <x:row r="37" ht="64" customHeight="1">
      <x:c r="A37" s="11" t="str">
        <x:v>B-033</x:v>
      </x:c>
      <x:c r="B37" s="11" t="str">
        <x:v>AX7020 J10/J11对接端子</x:v>
      </x:c>
      <x:c r="C37" s="11" t="str">
        <x:v>2×20 2.54mm 对应插座/转接线（按实板决定）</x:v>
      </x:c>
      <x:c r="D37" s="11" t="str">
        <x:v>UNKNOWN_VERIFY</x:v>
      </x:c>
      <x:c r="E37" s="13" t="n">
        <x:v>0</x:v>
      </x:c>
      <x:c r="F37" s="14" t="n">
        <x:v>0.1</x:v>
      </x:c>
      <x:c r="G37" s="13" t="n">
        <x:f>ROUNDUP(E37*(1+F37),0)</x:f>
        <x:v>0</x:v>
      </x:c>
      <x:c r="H37" s="11" t="str"/>
      <x:c r="I37" s="11" t="str">
        <x:v>THT/线束TBD; Pin1/EP原生库待核</x:v>
      </x:c>
      <x:c r="J37" s="11" t="str">
        <x:v>2套对应PL扩展口；针脚编号必须实测</x:v>
      </x:c>
      <x:c r="K37" s="11" t="str">
        <x:v>UNKNOWN</x:v>
      </x:c>
      <x:c r="L37" s="11" t="str">
        <x:v>外部独立电源 / 线束</x:v>
      </x:c>
      <x:c r="M37" s="11" t="str">
        <x:v>https://www.alinx.com/public/upload/file/AX7020_UG.pdf</x:v>
      </x:c>
      <x:c r="N37" s="11" t="str">
        <x:v>授权渠道待选；不默认替代</x:v>
      </x:c>
      <x:c r="O37" s="11" t="str">
        <x:v>UNKNOWN_VERIFY</x:v>
      </x:c>
      <x:c r="P37" s="11" t="str">
        <x:v>2026-10-11</x:v>
      </x:c>
      <x:c r="Q37" s="11" t="str">
        <x:v>INHERITED_CANDIDATE_REQUIRES_NATIVE_PIN_REVIEW</x:v>
      </x:c>
      <x:c r="R37" s="11" t="str">
        <x:v>User v5 scope; no procurement permission</x:v>
      </x:c>
      <x:c r="S37" s="11" t="str">
        <x:v>Inherited candidate quantity; netlist/thermal review pending</x:v>
      </x:c>
      <x:c r="T37" s="11" t="str">
        <x:v>UNKNOWN</x:v>
      </x:c>
      <x:c r="U37" s="11" t="str">
        <x:v>外部配件</x:v>
      </x:c>
      <x:c r="V37" s="11" t="str">
        <x:v>HOLD</x:v>
      </x:c>
    </x:row>
    <x:row r="38" ht="64" customHeight="1">
      <x:c r="A38" s="11" t="str">
        <x:v>B-034</x:v>
      </x:c>
      <x:c r="B38" s="11" t="str">
        <x:v>50芯独立数据接头</x:v>
      </x:c>
      <x:c r="C38" s="11" t="str">
        <x:v>2×25 IDC防呆（候选）</x:v>
      </x:c>
      <x:c r="D38" s="11" t="str">
        <x:v>UNKNOWN_VERIFY</x:v>
      </x:c>
      <x:c r="E38" s="13" t="n">
        <x:v>0</x:v>
      </x:c>
      <x:c r="F38" s="14" t="n">
        <x:v>0.1</x:v>
      </x:c>
      <x:c r="G38" s="13" t="n">
        <x:f>ROUNDUP(E38*(1+F38),0)</x:f>
        <x:v>0</x:v>
      </x:c>
      <x:c r="H38" s="11" t="str"/>
      <x:c r="I38" s="11" t="str">
        <x:v>THT; Pin1/EP原生库待核</x:v>
      </x:c>
      <x:c r="J38" s="11" t="str">
        <x:v>每板1个，高速数据+GND相邻，不能当成最终可用66MHz</x:v>
      </x:c>
      <x:c r="K38" s="11" t="str">
        <x:v>UNKNOWN</x:v>
      </x:c>
      <x:c r="L38" s="11" t="str">
        <x:v>外部独立电源 / 线束</x:v>
      </x:c>
      <x:c r="M38" s="11" t="str">
        <x:v>https://www.lcsc.com/custom-cable-assembly</x:v>
      </x:c>
      <x:c r="N38" s="11" t="str">
        <x:v>授权渠道待选；不默认替代</x:v>
      </x:c>
      <x:c r="O38" s="11" t="str">
        <x:v>UNKNOWN_VERIFY</x:v>
      </x:c>
      <x:c r="P38" s="11" t="str">
        <x:v>2026-10-11</x:v>
      </x:c>
      <x:c r="Q38" s="11" t="str">
        <x:v>INHERITED_CANDIDATE_REQUIRES_NATIVE_PIN_REVIEW</x:v>
      </x:c>
      <x:c r="R38" s="11" t="str">
        <x:v>User v5 scope; no procurement permission</x:v>
      </x:c>
      <x:c r="S38" s="11" t="str">
        <x:v>Inherited candidate quantity; netlist/thermal review pending</x:v>
      </x:c>
      <x:c r="T38" s="11" t="str">
        <x:v>UNKNOWN</x:v>
      </x:c>
      <x:c r="U38" s="11" t="str">
        <x:v>外部配件</x:v>
      </x:c>
      <x:c r="V38" s="11" t="str">
        <x:v>HOLD</x:v>
      </x:c>
    </x:row>
    <x:row r="39" ht="64" customHeight="1">
      <x:c r="A39" s="11" t="str">
        <x:v>B-035</x:v>
      </x:c>
      <x:c r="B39" s="11" t="str">
        <x:v>数字数据扇出接口</x:v>
      </x:c>
      <x:c r="C39" s="11" t="str">
        <x:v>2×25 IDC防呆（候选）</x:v>
      </x:c>
      <x:c r="D39" s="11" t="str">
        <x:v>UNKNOWN_VERIFY</x:v>
      </x:c>
      <x:c r="E39" s="13" t="n">
        <x:v>0</x:v>
      </x:c>
      <x:c r="F39" s="14" t="n">
        <x:v>0.1</x:v>
      </x:c>
      <x:c r="G39" s="13" t="n">
        <x:f>ROUNDUP(E39*(1+F39),0)</x:f>
        <x:v>0</x:v>
      </x:c>
      <x:c r="H39" s="11" t="str"/>
      <x:c r="I39" s="11" t="str">
        <x:v>THT; Pin1/EP原生库待核</x:v>
      </x:c>
      <x:c r="J39" s="11" t="str">
        <x:v>上下各一个，配合Array接口</x:v>
      </x:c>
      <x:c r="K39" s="11" t="str">
        <x:v>UNKNOWN</x:v>
      </x:c>
      <x:c r="L39" s="11" t="str">
        <x:v>外部独立电源 / 线束</x:v>
      </x:c>
      <x:c r="M39" s="11" t="str">
        <x:v>https://www.lcsc.com/custom-cable-assembly</x:v>
      </x:c>
      <x:c r="N39" s="11" t="str">
        <x:v>授权渠道待选；不默认替代</x:v>
      </x:c>
      <x:c r="O39" s="11" t="str">
        <x:v>UNKNOWN_VERIFY</x:v>
      </x:c>
      <x:c r="P39" s="11" t="str">
        <x:v>2026-10-11</x:v>
      </x:c>
      <x:c r="Q39" s="11" t="str">
        <x:v>INHERITED_CANDIDATE_REQUIRES_NATIVE_PIN_REVIEW</x:v>
      </x:c>
      <x:c r="R39" s="11" t="str">
        <x:v>User v5 scope; no procurement permission</x:v>
      </x:c>
      <x:c r="S39" s="11" t="str">
        <x:v>Inherited candidate quantity; netlist/thermal review pending</x:v>
      </x:c>
      <x:c r="T39" s="11" t="str">
        <x:v>UNKNOWN</x:v>
      </x:c>
      <x:c r="U39" s="11" t="str">
        <x:v>外部配件</x:v>
      </x:c>
      <x:c r="V39" s="11" t="str">
        <x:v>HOLD</x:v>
      </x:c>
    </x:row>
    <x:row r="40" ht="64" customHeight="1">
      <x:c r="A40" s="11" t="str">
        <x:v>B-036</x:v>
      </x:c>
      <x:c r="B40" s="11" t="str">
        <x:v>8芯4对模拟RX接口</x:v>
      </x:c>
      <x:c r="C40" s="11" t="str">
        <x:v>不带变压器的被动8P8C/屏蔽连接器</x:v>
      </x:c>
      <x:c r="D40" s="11" t="str">
        <x:v>UNKNOWN_VERIFY</x:v>
      </x:c>
      <x:c r="E40" s="13" t="n">
        <x:v>0</x:v>
      </x:c>
      <x:c r="F40" s="14" t="n">
        <x:v>0.1</x:v>
      </x:c>
      <x:c r="G40" s="13" t="n">
        <x:f>ROUNDUP(E40*(1+F40),0)</x:f>
        <x:v>0</x:v>
      </x:c>
      <x:c r="H40" s="11" t="str"/>
      <x:c r="I40" s="11" t="str">
        <x:v>THT; Pin1/EP原生库待核</x:v>
      </x:c>
      <x:c r="J40" s="11" t="str">
        <x:v>上/下阵列各1个，中央2个，明确标非以太网</x:v>
      </x:c>
      <x:c r="K40" s="11" t="str">
        <x:v>UNKNOWN</x:v>
      </x:c>
      <x:c r="L40" s="11" t="str">
        <x:v>外部独立电源 / 线束</x:v>
      </x:c>
      <x:c r="M40" s="11" t="str">
        <x:v>https://www.lcsc.com</x:v>
      </x:c>
      <x:c r="N40" s="11" t="str">
        <x:v>授权渠道待选；不默认替代</x:v>
      </x:c>
      <x:c r="O40" s="11" t="str">
        <x:v>UNKNOWN_VERIFY</x:v>
      </x:c>
      <x:c r="P40" s="11" t="str">
        <x:v>2026-10-11</x:v>
      </x:c>
      <x:c r="Q40" s="11" t="str">
        <x:v>INHERITED_CANDIDATE_REQUIRES_NATIVE_PIN_REVIEW</x:v>
      </x:c>
      <x:c r="R40" s="11" t="str">
        <x:v>User v5 scope; no procurement permission</x:v>
      </x:c>
      <x:c r="S40" s="11" t="str">
        <x:v>Inherited candidate quantity; netlist/thermal review pending</x:v>
      </x:c>
      <x:c r="T40" s="11" t="str">
        <x:v>UNKNOWN</x:v>
      </x:c>
      <x:c r="U40" s="11" t="str">
        <x:v>外部配件</x:v>
      </x:c>
      <x:c r="V40" s="11" t="str">
        <x:v>HOLD</x:v>
      </x:c>
    </x:row>
    <x:row r="41" ht="64" customHeight="1">
      <x:c r="A41" s="11" t="str">
        <x:v>B-037</x:v>
      </x:c>
      <x:c r="B41" s="11" t="str">
        <x:v>远端I2C环境传感器插座</x:v>
      </x:c>
      <x:c r="C41" s="11" t="str">
        <x:v>JST XH 4P</x:v>
      </x:c>
      <x:c r="D41" s="11" t="str">
        <x:v>UNKNOWN_VERIFY</x:v>
      </x:c>
      <x:c r="E41" s="13" t="n">
        <x:v>0</x:v>
      </x:c>
      <x:c r="F41" s="14" t="n">
        <x:v>0.1</x:v>
      </x:c>
      <x:c r="G41" s="13" t="n">
        <x:f>ROUNDUP(E41*(1+F41),0)</x:f>
        <x:v>0</x:v>
      </x:c>
      <x:c r="H41" s="11" t="str"/>
      <x:c r="I41" s="11" t="str">
        <x:v>THT; Pin1/EP原生库待核</x:v>
      </x:c>
      <x:c r="J41" s="11" t="str">
        <x:v>3.3V/GND/SDA/SCL；电源来自中央辅助电源</x:v>
      </x:c>
      <x:c r="K41" s="11" t="str">
        <x:v>UNKNOWN</x:v>
      </x:c>
      <x:c r="L41" s="11" t="str">
        <x:v>外部独立电源 / 线束</x:v>
      </x:c>
      <x:c r="M41" s="11" t="str">
        <x:v>https://www.lcsc.com</x:v>
      </x:c>
      <x:c r="N41" s="11" t="str">
        <x:v>授权渠道待选；不默认替代</x:v>
      </x:c>
      <x:c r="O41" s="11" t="str">
        <x:v>UNKNOWN_VERIFY</x:v>
      </x:c>
      <x:c r="P41" s="11" t="str">
        <x:v>2026-10-11</x:v>
      </x:c>
      <x:c r="Q41" s="11" t="str">
        <x:v>INHERITED_CANDIDATE_REQUIRES_NATIVE_PIN_REVIEW</x:v>
      </x:c>
      <x:c r="R41" s="11" t="str">
        <x:v>User v5 scope; no procurement permission</x:v>
      </x:c>
      <x:c r="S41" s="11" t="str">
        <x:v>Inherited candidate quantity; netlist/thermal review pending</x:v>
      </x:c>
      <x:c r="T41" s="11" t="str">
        <x:v>UNKNOWN</x:v>
      </x:c>
      <x:c r="U41" s="11" t="str">
        <x:v>外部配件</x:v>
      </x:c>
      <x:c r="V41" s="11" t="str">
        <x:v>HOLD</x:v>
      </x:c>
    </x:row>
    <x:row r="42" ht="64" customHeight="1">
      <x:c r="A42" s="11" t="str">
        <x:v>B-038</x:v>
      </x:c>
      <x:c r="B42" s="11" t="str">
        <x:v>远端I2C接口</x:v>
      </x:c>
      <x:c r="C42" s="11" t="str">
        <x:v>JST XH 4P</x:v>
      </x:c>
      <x:c r="D42" s="11" t="str">
        <x:v>UNKNOWN_VERIFY</x:v>
      </x:c>
      <x:c r="E42" s="13" t="n">
        <x:v>0</x:v>
      </x:c>
      <x:c r="F42" s="14" t="n">
        <x:v>0.1</x:v>
      </x:c>
      <x:c r="G42" s="13" t="n">
        <x:f>ROUNDUP(E42*(1+F42),0)</x:f>
        <x:v>0</x:v>
      </x:c>
      <x:c r="H42" s="11" t="str"/>
      <x:c r="I42" s="11" t="str">
        <x:v>THT; Pin1/EP原生库待核</x:v>
      </x:c>
      <x:c r="J42" s="11" t="str">
        <x:v>XH 4pin端子</x:v>
      </x:c>
      <x:c r="K42" s="11" t="str">
        <x:v>UNKNOWN</x:v>
      </x:c>
      <x:c r="L42" s="11" t="str">
        <x:v>外部独立电源 / 线束</x:v>
      </x:c>
      <x:c r="M42" s="11" t="str">
        <x:v>https://www.lcsc.com</x:v>
      </x:c>
      <x:c r="N42" s="11" t="str">
        <x:v>授权渠道待选；不默认替代</x:v>
      </x:c>
      <x:c r="O42" s="11" t="str">
        <x:v>UNKNOWN_VERIFY</x:v>
      </x:c>
      <x:c r="P42" s="11" t="str">
        <x:v>2026-10-11</x:v>
      </x:c>
      <x:c r="Q42" s="11" t="str">
        <x:v>INHERITED_CANDIDATE_REQUIRES_NATIVE_PIN_REVIEW</x:v>
      </x:c>
      <x:c r="R42" s="11" t="str">
        <x:v>User v5 scope; no procurement permission</x:v>
      </x:c>
      <x:c r="S42" s="11" t="str">
        <x:v>Inherited candidate quantity; netlist/thermal review pending</x:v>
      </x:c>
      <x:c r="T42" s="11" t="str">
        <x:v>UNKNOWN</x:v>
      </x:c>
      <x:c r="U42" s="11" t="str">
        <x:v>外部配件</x:v>
      </x:c>
      <x:c r="V42" s="11" t="str">
        <x:v>HOLD</x:v>
      </x:c>
    </x:row>
    <x:row r="43" ht="64" customHeight="1">
      <x:c r="A43" s="11" t="str">
        <x:v>B-039</x:v>
      </x:c>
      <x:c r="B43" s="11" t="str">
        <x:v>上下独立电源线束</x:v>
      </x:c>
      <x:c r="C43" s="11" t="str">
        <x:v>DC5P5x2P5_CENTER_POSITIVE_LEAD_TBD</x:v>
      </x:c>
      <x:c r="D43" s="11" t="str">
        <x:v>UNKNOWN_VERIFY</x:v>
      </x:c>
      <x:c r="E43" s="13" t="n">
        <x:v>2</x:v>
      </x:c>
      <x:c r="F43" s="14" t="n">
        <x:v>0.1</x:v>
      </x:c>
      <x:c r="G43" s="13" t="n">
        <x:f>ROUNDUP(E43*(1+F43),0)</x:f>
        <x:v>3</x:v>
      </x:c>
      <x:c r="H43" s="11" t="str">
        <x:v>EX_B039_001, EX_B039_002</x:v>
      </x:c>
      <x:c r="I43" s="11" t="str">
        <x:v>外置; Pin1/EP原生库待核</x:v>
      </x:c>
      <x:c r="J43" s="11" t="str">
        <x:v>各板单独从外置供电装置接线</x:v>
      </x:c>
      <x:c r="K43" s="11" t="str">
        <x:v>UNKNOWN</x:v>
      </x:c>
      <x:c r="L43" s="11" t="str">
        <x:v>外部独立电源 / 线束</x:v>
      </x:c>
      <x:c r="M43" s="11" t="str">
        <x:v>https://www.lcsc.com/custom-cable-assembly</x:v>
      </x:c>
      <x:c r="N43" s="11" t="str">
        <x:v>授权渠道待选；不默认替代</x:v>
      </x:c>
      <x:c r="O43" s="11" t="str">
        <x:v>UNKNOWN_VERIFY</x:v>
      </x:c>
      <x:c r="P43" s="11" t="str">
        <x:v>2026-10-11</x:v>
      </x:c>
      <x:c r="Q43" s="11" t="str">
        <x:v>INHERITED_CANDIDATE_REQUIRES_NATIVE_PIN_REVIEW</x:v>
      </x:c>
      <x:c r="R43" s="11" t="str">
        <x:v>User v5 scope; no procurement permission</x:v>
      </x:c>
      <x:c r="S43" s="11" t="str">
        <x:v>5A nominal path; wire/fuse/plug length/temperature verification HOLD</x:v>
      </x:c>
      <x:c r="T43" s="11" t="str">
        <x:v>UNKNOWN</x:v>
      </x:c>
      <x:c r="U43" s="11" t="str">
        <x:v>外部配件</x:v>
      </x:c>
      <x:c r="V43" s="11" t="str">
        <x:v>HOLD</x:v>
      </x:c>
    </x:row>
    <x:row r="44" ht="64" customHeight="1">
      <x:c r="A44" s="11" t="str">
        <x:v>B-040</x:v>
      </x:c>
      <x:c r="B44" s="11" t="str">
        <x:v>中央辅助电源线束</x:v>
      </x:c>
      <x:c r="C44" s="11" t="str">
        <x:v>XT30 2P线束</x:v>
      </x:c>
      <x:c r="D44" s="11" t="str">
        <x:v>UNKNOWN_VERIFY</x:v>
      </x:c>
      <x:c r="E44" s="13" t="n">
        <x:v>0</x:v>
      </x:c>
      <x:c r="F44" s="14" t="n">
        <x:v>0.1</x:v>
      </x:c>
      <x:c r="G44" s="13" t="n">
        <x:f>ROUNDUP(E44*(1+F44),0)</x:f>
        <x:v>0</x:v>
      </x:c>
      <x:c r="H44" s="11" t="str"/>
      <x:c r="I44" s="11" t="str">
        <x:v>外置; Pin1/EP原生库待核</x:v>
      </x:c>
      <x:c r="J44" s="11" t="str">
        <x:v>独立于两阵列的ADC/逻辑输入</x:v>
      </x:c>
      <x:c r="K44" s="11" t="str">
        <x:v>UNKNOWN</x:v>
      </x:c>
      <x:c r="L44" s="11" t="str">
        <x:v>外部独立电源 / 线束</x:v>
      </x:c>
      <x:c r="M44" s="11" t="str">
        <x:v>https://www.lcsc.com/custom-cable-assembly</x:v>
      </x:c>
      <x:c r="N44" s="11" t="str">
        <x:v>授权渠道待选；不默认替代</x:v>
      </x:c>
      <x:c r="O44" s="11" t="str">
        <x:v>UNKNOWN_VERIFY</x:v>
      </x:c>
      <x:c r="P44" s="11" t="str">
        <x:v>2026-10-11</x:v>
      </x:c>
      <x:c r="Q44" s="11" t="str">
        <x:v>INHERITED_CANDIDATE_REQUIRES_NATIVE_PIN_REVIEW</x:v>
      </x:c>
      <x:c r="R44" s="11" t="str">
        <x:v>User v5 scope; no procurement permission</x:v>
      </x:c>
      <x:c r="S44" s="11" t="str">
        <x:v>Removed central external power path; central AX7020-only source</x:v>
      </x:c>
      <x:c r="T44" s="11" t="str">
        <x:v>UNKNOWN</x:v>
      </x:c>
      <x:c r="U44" s="11" t="str">
        <x:v>外部配件</x:v>
      </x:c>
      <x:c r="V44" s="11" t="str">
        <x:v>HOLD</x:v>
      </x:c>
    </x:row>
    <x:row r="45" ht="64" customHeight="1">
      <x:c r="A45" s="11" t="str">
        <x:v>B-041</x:v>
      </x:c>
      <x:c r="B45" s="11" t="str">
        <x:v>上/下数字线束</x:v>
      </x:c>
      <x:c r="C45" s="11" t="str">
        <x:v>50芯IDC定长≤20cm仅初选</x:v>
      </x:c>
      <x:c r="D45" s="11" t="str">
        <x:v>UNKNOWN_VERIFY</x:v>
      </x:c>
      <x:c r="E45" s="13" t="n">
        <x:v>0</x:v>
      </x:c>
      <x:c r="F45" s="14" t="n">
        <x:v>0.1</x:v>
      </x:c>
      <x:c r="G45" s="13" t="n">
        <x:f>ROUNDUP(E45*(1+F45),0)</x:f>
        <x:v>0</x:v>
      </x:c>
      <x:c r="H45" s="11" t="str"/>
      <x:c r="I45" s="11" t="str">
        <x:v>线束; Pin1/EP原生库待核</x:v>
      </x:c>
      <x:c r="J45" s="11" t="str">
        <x:v>每阵列1条；需屏蔽/回流/时序验证</x:v>
      </x:c>
      <x:c r="K45" s="11" t="str">
        <x:v>UNKNOWN</x:v>
      </x:c>
      <x:c r="L45" s="11" t="str">
        <x:v>外部独立电源 / 线束</x:v>
      </x:c>
      <x:c r="M45" s="11" t="str">
        <x:v>https://www.lcsc.com/custom-cable-assembly</x:v>
      </x:c>
      <x:c r="N45" s="11" t="str">
        <x:v>授权渠道待选；不默认替代</x:v>
      </x:c>
      <x:c r="O45" s="11" t="str">
        <x:v>UNKNOWN_VERIFY</x:v>
      </x:c>
      <x:c r="P45" s="11" t="str">
        <x:v>2026-10-11</x:v>
      </x:c>
      <x:c r="Q45" s="11" t="str">
        <x:v>INHERITED_CANDIDATE_REQUIRES_NATIVE_PIN_REVIEW</x:v>
      </x:c>
      <x:c r="R45" s="11" t="str">
        <x:v>User v5 scope; no procurement permission</x:v>
      </x:c>
      <x:c r="S45" s="11" t="str">
        <x:v>SUPERSEDED_OR_OPTIONAL_DNP: see new H entries; not installed twice</x:v>
      </x:c>
      <x:c r="T45" s="11" t="str">
        <x:v>UNKNOWN</x:v>
      </x:c>
      <x:c r="U45" s="11" t="str">
        <x:v>外部配件</x:v>
      </x:c>
      <x:c r="V45" s="11" t="str">
        <x:v>HOLD</x:v>
      </x:c>
    </x:row>
    <x:row r="46" ht="64" customHeight="1">
      <x:c r="A46" s="11" t="str">
        <x:v>B-042</x:v>
      </x:c>
      <x:c r="B46" s="11" t="str">
        <x:v>上/下RX信号线束</x:v>
      </x:c>
      <x:c r="C46" s="11" t="str">
        <x:v>屏蔽4对模拟线（独立专用）</x:v>
      </x:c>
      <x:c r="D46" s="11" t="str">
        <x:v>UNKNOWN_VERIFY</x:v>
      </x:c>
      <x:c r="E46" s="13" t="n">
        <x:v>0</x:v>
      </x:c>
      <x:c r="F46" s="14" t="n">
        <x:v>0.1</x:v>
      </x:c>
      <x:c r="G46" s="13" t="n">
        <x:f>ROUNDUP(E46*(1+F46),0)</x:f>
        <x:v>0</x:v>
      </x:c>
      <x:c r="H46" s="11" t="str"/>
      <x:c r="I46" s="11" t="str">
        <x:v>线束; Pin1/EP原生库待核</x:v>
      </x:c>
      <x:c r="J46" s="11" t="str">
        <x:v>每阵列1条；建议远离TX与功率</x:v>
      </x:c>
      <x:c r="K46" s="11" t="str">
        <x:v>UNKNOWN</x:v>
      </x:c>
      <x:c r="L46" s="11" t="str">
        <x:v>外部独立电源 / 线束</x:v>
      </x:c>
      <x:c r="M46" s="11" t="str">
        <x:v>https://www.lcsc.com/custom-cable-assembly</x:v>
      </x:c>
      <x:c r="N46" s="11" t="str">
        <x:v>授权渠道待选；不默认替代</x:v>
      </x:c>
      <x:c r="O46" s="11" t="str">
        <x:v>UNKNOWN_VERIFY</x:v>
      </x:c>
      <x:c r="P46" s="11" t="str">
        <x:v>2026-10-11</x:v>
      </x:c>
      <x:c r="Q46" s="11" t="str">
        <x:v>INHERITED_CANDIDATE_REQUIRES_NATIVE_PIN_REVIEW</x:v>
      </x:c>
      <x:c r="R46" s="11" t="str">
        <x:v>User v5 scope; no procurement permission</x:v>
      </x:c>
      <x:c r="S46" s="11" t="str">
        <x:v>SUPERSEDED_OR_OPTIONAL_DNP: see new H entries; not installed twice</x:v>
      </x:c>
      <x:c r="T46" s="11" t="str">
        <x:v>UNKNOWN</x:v>
      </x:c>
      <x:c r="U46" s="11" t="str">
        <x:v>外部配件</x:v>
      </x:c>
      <x:c r="V46" s="11" t="str">
        <x:v>HOLD</x:v>
      </x:c>
    </x:row>
    <x:row r="47" ht="64" customHeight="1">
      <x:c r="A47" s="11" t="str">
        <x:v>B-043</x:v>
      </x:c>
      <x:c r="B47" s="11" t="str">
        <x:v>AX7020到中央适配线束</x:v>
      </x:c>
      <x:c r="C47" s="11" t="str">
        <x:v>J10/J11对应双40针连接（实板决定）</x:v>
      </x:c>
      <x:c r="D47" s="11" t="str">
        <x:v>UNKNOWN_VERIFY</x:v>
      </x:c>
      <x:c r="E47" s="13" t="n">
        <x:v>2</x:v>
      </x:c>
      <x:c r="F47" s="14" t="n">
        <x:v>0.1</x:v>
      </x:c>
      <x:c r="G47" s="13" t="n">
        <x:f>ROUNDUP(E47*(1+F47),0)</x:f>
        <x:v>3</x:v>
      </x:c>
      <x:c r="H47" s="11" t="str">
        <x:v>EX_B043_001, EX_B043_002</x:v>
      </x:c>
      <x:c r="I47" s="11" t="str">
        <x:v>线束; Pin1/EP原生库待核</x:v>
      </x:c>
      <x:c r="J47" s="11" t="str">
        <x:v>连通PS/PL，无功率路径</x:v>
      </x:c>
      <x:c r="K47" s="11" t="str">
        <x:v>UNKNOWN</x:v>
      </x:c>
      <x:c r="L47" s="11" t="str">
        <x:v>外部独立电源 / 线束</x:v>
      </x:c>
      <x:c r="M47" s="11" t="str">
        <x:v>https://www.alinx.com/public/upload/file/AX7020_UG.pdf</x:v>
      </x:c>
      <x:c r="N47" s="11" t="str">
        <x:v>授权渠道待选；不默认替代</x:v>
      </x:c>
      <x:c r="O47" s="11" t="str">
        <x:v>UNKNOWN_VERIFY</x:v>
      </x:c>
      <x:c r="P47" s="11" t="str">
        <x:v>2026-10-11</x:v>
      </x:c>
      <x:c r="Q47" s="11" t="str">
        <x:v>INHERITED_CANDIDATE_REQUIRES_NATIVE_PIN_REVIEW</x:v>
      </x:c>
      <x:c r="R47" s="11" t="str">
        <x:v>User v5 scope; no procurement permission</x:v>
      </x:c>
      <x:c r="S47" s="11" t="str">
        <x:v>Inherited candidate quantity; netlist/thermal review pending</x:v>
      </x:c>
      <x:c r="T47" s="11" t="str">
        <x:v>UNKNOWN</x:v>
      </x:c>
      <x:c r="U47" s="11" t="str">
        <x:v>外部配件</x:v>
      </x:c>
      <x:c r="V47" s="11" t="str">
        <x:v>HOLD</x:v>
      </x:c>
    </x:row>
    <x:row r="48" ht="64" customHeight="1">
      <x:c r="A48" s="11" t="str">
        <x:v>B-044</x:v>
      </x:c>
      <x:c r="B48" s="11" t="str">
        <x:v>双路限流可调直流电源</x:v>
      </x:c>
      <x:c r="C48" s="11" t="str">
        <x:v>12V 5A supply candidate (each)</x:v>
      </x:c>
      <x:c r="D48" s="11" t="str">
        <x:v>UNKNOWN_VERIFY</x:v>
      </x:c>
      <x:c r="E48" s="13" t="n">
        <x:v>0</x:v>
      </x:c>
      <x:c r="F48" s="14" t="n">
        <x:v>0.1</x:v>
      </x:c>
      <x:c r="G48" s="13" t="n">
        <x:f>ROUNDUP(E48*(1+F48),0)</x:f>
        <x:v>0</x:v>
      </x:c>
      <x:c r="H48" s="11" t="str"/>
      <x:c r="I48" s="11" t="str">
        <x:v>设备; Pin1/EP原生库待核</x:v>
      </x:c>
      <x:c r="J48" s="11" t="str">
        <x:v>两个阵列独立可断电、可调限流</x:v>
      </x:c>
      <x:c r="K48" s="11" t="str">
        <x:v>UNKNOWN</x:v>
      </x:c>
      <x:c r="L48" s="11" t="str">
        <x:v>外部独立电源 / 线束</x:v>
      </x:c>
      <x:c r="M48" s="11" t="str">
        <x:v>https://www.meanwell.com/webapp/product/search.aspx?prod=GST120A</x:v>
      </x:c>
      <x:c r="N48" s="11" t="str">
        <x:v>授权渠道待选；不默认替代</x:v>
      </x:c>
      <x:c r="O48" s="11" t="str">
        <x:v>UNKNOWN_VERIFY</x:v>
      </x:c>
      <x:c r="P48" s="11" t="str">
        <x:v>2026-10-11</x:v>
      </x:c>
      <x:c r="Q48" s="11" t="str">
        <x:v>INHERITED_CANDIDATE_REQUIRES_NATIVE_PIN_REVIEW</x:v>
      </x:c>
      <x:c r="R48" s="11" t="str">
        <x:v>User v5 scope; no procurement permission</x:v>
      </x:c>
      <x:c r="S48" s="11" t="str">
        <x:v>SUPERSEDED_OR_OPTIONAL_DNP: see new H entries; not installed twice</x:v>
      </x:c>
      <x:c r="T48" s="11" t="str">
        <x:v>UNKNOWN</x:v>
      </x:c>
      <x:c r="U48" s="11" t="str">
        <x:v>外部配件</x:v>
      </x:c>
      <x:c r="V48" s="11" t="str">
        <x:v>HOLD</x:v>
      </x:c>
    </x:row>
    <x:row r="49" ht="64" customHeight="1">
      <x:c r="A49" s="11" t="str">
        <x:v>B-045</x:v>
      </x:c>
      <x:c r="B49" s="11" t="str">
        <x:v>AX7020官方匹配电源适配器</x:v>
      </x:c>
      <x:c r="C49" s="11" t="str">
        <x:v>ALINX规定DC 5V配件</x:v>
      </x:c>
      <x:c r="D49" s="11" t="str">
        <x:v>UNKNOWN_VERIFY</x:v>
      </x:c>
      <x:c r="E49" s="13" t="n">
        <x:v>1</x:v>
      </x:c>
      <x:c r="F49" s="14" t="n">
        <x:v>0.1</x:v>
      </x:c>
      <x:c r="G49" s="13" t="n">
        <x:f>ROUNDUP(E49*(1+F49),0)</x:f>
        <x:v>2</x:v>
      </x:c>
      <x:c r="H49" s="11" t="str">
        <x:v>EX_B045_001</x:v>
      </x:c>
      <x:c r="I49" s="11" t="str">
        <x:v>设备; Pin1/EP原生库待核</x:v>
      </x:c>
      <x:c r="J49" s="11" t="str">
        <x:v>主控保持其原厂供电，外部阵列不占板载供电</x:v>
      </x:c>
      <x:c r="K49" s="11" t="str">
        <x:v>UNKNOWN</x:v>
      </x:c>
      <x:c r="L49" s="11" t="str">
        <x:v>外部独立电源 / 线束</x:v>
      </x:c>
      <x:c r="M49" s="11" t="str">
        <x:v>https://www.alinx.com/public/upload/file/AX7020_UG.pdf</x:v>
      </x:c>
      <x:c r="N49" s="11" t="str">
        <x:v>授权渠道待选；不默认替代</x:v>
      </x:c>
      <x:c r="O49" s="11" t="str">
        <x:v>UNKNOWN_VERIFY</x:v>
      </x:c>
      <x:c r="P49" s="11" t="str">
        <x:v>2026-10-11</x:v>
      </x:c>
      <x:c r="Q49" s="11" t="str">
        <x:v>INHERITED_CANDIDATE_REQUIRES_NATIVE_PIN_REVIEW</x:v>
      </x:c>
      <x:c r="R49" s="11" t="str">
        <x:v>User v5 scope; no procurement permission</x:v>
      </x:c>
      <x:c r="S49" s="11" t="str">
        <x:v>Inherited candidate quantity; netlist/thermal review pending</x:v>
      </x:c>
      <x:c r="T49" s="11" t="str">
        <x:v>UNKNOWN</x:v>
      </x:c>
      <x:c r="U49" s="11" t="str">
        <x:v>外部配件</x:v>
      </x:c>
      <x:c r="V49" s="11" t="str">
        <x:v>HOLD</x:v>
      </x:c>
    </x:row>
    <x:row r="50" ht="64" customHeight="1">
      <x:c r="A50" s="11" t="str">
        <x:v>B-046</x:v>
      </x:c>
      <x:c r="B50" s="11" t="str">
        <x:v>100nF去耦电容</x:v>
      </x:c>
      <x:c r="C50" s="11" t="str">
        <x:v>100nF 50V X7R</x:v>
      </x:c>
      <x:c r="D50" s="11" t="str">
        <x:v>UNKNOWN_VERIFY</x:v>
      </x:c>
      <x:c r="E50" s="13" t="n">
        <x:v>0</x:v>
      </x:c>
      <x:c r="F50" s="14" t="n">
        <x:v>0.1</x:v>
      </x:c>
      <x:c r="G50" s="13" t="n">
        <x:f>ROUNDUP(E50*(1+F50),0)</x:f>
        <x:v>0</x:v>
      </x:c>
      <x:c r="H50" s="11" t="str"/>
      <x:c r="I50" s="11" t="str">
        <x:v>0603; Pin1/EP原生库待核</x:v>
      </x:c>
      <x:c r="J50" s="11" t="str">
        <x:v>按原v5零件计数移植；新布板新增保护网路另计</x:v>
      </x:c>
      <x:c r="K50" s="11" t="str">
        <x:v>UNKNOWN</x:v>
      </x:c>
      <x:c r="L50" s="11" t="str">
        <x:v>外部独立电源 / 线束</x:v>
      </x:c>
      <x:c r="M50" s="11" t="str">
        <x:v>https://github.com/loverlike1216/SonoField-FPGA/blob/main/v5/hardware/bom/BOM_MASTER.csv</x:v>
      </x:c>
      <x:c r="N50" s="11" t="str">
        <x:v>授权渠道待选；不默认替代</x:v>
      </x:c>
      <x:c r="O50" s="11" t="str">
        <x:v>UNKNOWN_VERIFY</x:v>
      </x:c>
      <x:c r="P50" s="11" t="str">
        <x:v>2026-10-11</x:v>
      </x:c>
      <x:c r="Q50" s="11" t="str">
        <x:v>INHERITED_CANDIDATE_REQUIRES_NATIVE_PIN_REVIEW</x:v>
      </x:c>
      <x:c r="R50" s="11" t="str">
        <x:v>User v5 scope; no procurement permission</x:v>
      </x:c>
      <x:c r="S50" s="11" t="str">
        <x:v>Inherited candidate quantity; netlist/thermal review pending</x:v>
      </x:c>
      <x:c r="T50" s="11" t="str">
        <x:v>UNKNOWN</x:v>
      </x:c>
      <x:c r="U50" s="11" t="str">
        <x:v>外部配件</x:v>
      </x:c>
      <x:c r="V50" s="11" t="str">
        <x:v>HOLD</x:v>
      </x:c>
    </x:row>
    <x:row r="51" ht="64" customHeight="1">
      <x:c r="A51" s="11" t="str">
        <x:v>B-047</x:v>
      </x:c>
      <x:c r="B51" s="11" t="str">
        <x:v>1µF驱动储能</x:v>
      </x:c>
      <x:c r="C51" s="11" t="str">
        <x:v>1µF 25V X7R</x:v>
      </x:c>
      <x:c r="D51" s="11" t="str">
        <x:v>UNKNOWN_VERIFY</x:v>
      </x:c>
      <x:c r="E51" s="13" t="n">
        <x:v>0</x:v>
      </x:c>
      <x:c r="F51" s="14" t="n">
        <x:v>0.1</x:v>
      </x:c>
      <x:c r="G51" s="13" t="n">
        <x:f>ROUNDUP(E51*(1+F51),0)</x:f>
        <x:v>0</x:v>
      </x:c>
      <x:c r="H51" s="11" t="str"/>
      <x:c r="I51" s="11" t="str">
        <x:v>0805; Pin1/EP原生库待核</x:v>
      </x:c>
      <x:c r="J51" s="11" t="str">
        <x:v>按原v5零件计数移植；新布板新增保护网路另计</x:v>
      </x:c>
      <x:c r="K51" s="11" t="str">
        <x:v>UNKNOWN</x:v>
      </x:c>
      <x:c r="L51" s="11" t="str">
        <x:v>外部独立电源 / 线束</x:v>
      </x:c>
      <x:c r="M51" s="11" t="str">
        <x:v>https://github.com/loverlike1216/SonoField-FPGA/blob/main/v5/hardware/bom/BOM_MASTER.csv</x:v>
      </x:c>
      <x:c r="N51" s="11" t="str">
        <x:v>授权渠道待选；不默认替代</x:v>
      </x:c>
      <x:c r="O51" s="11" t="str">
        <x:v>UNKNOWN_VERIFY</x:v>
      </x:c>
      <x:c r="P51" s="11" t="str">
        <x:v>2026-10-11</x:v>
      </x:c>
      <x:c r="Q51" s="11" t="str">
        <x:v>INHERITED_CANDIDATE_REQUIRES_NATIVE_PIN_REVIEW</x:v>
      </x:c>
      <x:c r="R51" s="11" t="str">
        <x:v>User v5 scope; no procurement permission</x:v>
      </x:c>
      <x:c r="S51" s="11" t="str">
        <x:v>Inherited candidate quantity; netlist/thermal review pending</x:v>
      </x:c>
      <x:c r="T51" s="11" t="str">
        <x:v>UNKNOWN</x:v>
      </x:c>
      <x:c r="U51" s="11" t="str">
        <x:v>外部配件</x:v>
      </x:c>
      <x:c r="V51" s="11" t="str">
        <x:v>HOLD</x:v>
      </x:c>
    </x:row>
    <x:row r="52" ht="64" customHeight="1">
      <x:c r="A52" s="11" t="str">
        <x:v>B-048</x:v>
      </x:c>
      <x:c r="B52" s="11" t="str">
        <x:v>22µF局部储能</x:v>
      </x:c>
      <x:c r="C52" s="11" t="str">
        <x:v>22µF 25V X7R</x:v>
      </x:c>
      <x:c r="D52" s="11" t="str">
        <x:v>UNKNOWN_VERIFY</x:v>
      </x:c>
      <x:c r="E52" s="13" t="n">
        <x:v>0</x:v>
      </x:c>
      <x:c r="F52" s="14" t="n">
        <x:v>0.1</x:v>
      </x:c>
      <x:c r="G52" s="13" t="n">
        <x:f>ROUNDUP(E52*(1+F52),0)</x:f>
        <x:v>0</x:v>
      </x:c>
      <x:c r="H52" s="11" t="str"/>
      <x:c r="I52" s="11" t="str">
        <x:v>1210; Pin1/EP原生库待核</x:v>
      </x:c>
      <x:c r="J52" s="11" t="str">
        <x:v>按原v5零件计数移植；新布板新增保护网路另计</x:v>
      </x:c>
      <x:c r="K52" s="11" t="str">
        <x:v>UNKNOWN</x:v>
      </x:c>
      <x:c r="L52" s="11" t="str">
        <x:v>外部独立电源 / 线束</x:v>
      </x:c>
      <x:c r="M52" s="11" t="str">
        <x:v>https://github.com/loverlike1216/SonoField-FPGA/blob/main/v5/hardware/bom/BOM_MASTER.csv</x:v>
      </x:c>
      <x:c r="N52" s="11" t="str">
        <x:v>授权渠道待选；不默认替代</x:v>
      </x:c>
      <x:c r="O52" s="11" t="str">
        <x:v>UNKNOWN_VERIFY</x:v>
      </x:c>
      <x:c r="P52" s="11" t="str">
        <x:v>2026-10-11</x:v>
      </x:c>
      <x:c r="Q52" s="11" t="str">
        <x:v>INHERITED_CANDIDATE_REQUIRES_NATIVE_PIN_REVIEW</x:v>
      </x:c>
      <x:c r="R52" s="11" t="str">
        <x:v>User v5 scope; no procurement permission</x:v>
      </x:c>
      <x:c r="S52" s="11" t="str">
        <x:v>Inherited candidate quantity; netlist/thermal review pending</x:v>
      </x:c>
      <x:c r="T52" s="11" t="str">
        <x:v>UNKNOWN</x:v>
      </x:c>
      <x:c r="U52" s="11" t="str">
        <x:v>外部配件</x:v>
      </x:c>
      <x:c r="V52" s="11" t="str">
        <x:v>HOLD</x:v>
      </x:c>
    </x:row>
    <x:row r="53" ht="64" customHeight="1">
      <x:c r="A53" s="11" t="str">
        <x:v>B-049</x:v>
      </x:c>
      <x:c r="B53" s="11" t="str">
        <x:v>10µF输入去耦</x:v>
      </x:c>
      <x:c r="C53" s="11" t="str">
        <x:v>10µF 25V X7R</x:v>
      </x:c>
      <x:c r="D53" s="11" t="str">
        <x:v>UNKNOWN_VERIFY</x:v>
      </x:c>
      <x:c r="E53" s="13" t="n">
        <x:v>0</x:v>
      </x:c>
      <x:c r="F53" s="14" t="n">
        <x:v>0.1</x:v>
      </x:c>
      <x:c r="G53" s="13" t="n">
        <x:f>ROUNDUP(E53*(1+F53),0)</x:f>
        <x:v>0</x:v>
      </x:c>
      <x:c r="H53" s="11" t="str"/>
      <x:c r="I53" s="11" t="str">
        <x:v>1206; Pin1/EP原生库待核</x:v>
      </x:c>
      <x:c r="J53" s="11" t="str">
        <x:v>按原v5零件计数移植；新布板新增保护网路另计</x:v>
      </x:c>
      <x:c r="K53" s="11" t="str">
        <x:v>UNKNOWN</x:v>
      </x:c>
      <x:c r="L53" s="11" t="str">
        <x:v>外部独立电源 / 线束</x:v>
      </x:c>
      <x:c r="M53" s="11" t="str">
        <x:v>https://github.com/loverlike1216/SonoField-FPGA/blob/main/v5/hardware/bom/BOM_MASTER.csv</x:v>
      </x:c>
      <x:c r="N53" s="11" t="str">
        <x:v>授权渠道待选；不默认替代</x:v>
      </x:c>
      <x:c r="O53" s="11" t="str">
        <x:v>UNKNOWN_VERIFY</x:v>
      </x:c>
      <x:c r="P53" s="11" t="str">
        <x:v>2026-10-11</x:v>
      </x:c>
      <x:c r="Q53" s="11" t="str">
        <x:v>INHERITED_CANDIDATE_REQUIRES_NATIVE_PIN_REVIEW</x:v>
      </x:c>
      <x:c r="R53" s="11" t="str">
        <x:v>User v5 scope; no procurement permission</x:v>
      </x:c>
      <x:c r="S53" s="11" t="str">
        <x:v>Inherited candidate quantity; netlist/thermal review pending</x:v>
      </x:c>
      <x:c r="T53" s="11" t="str">
        <x:v>UNKNOWN</x:v>
      </x:c>
      <x:c r="U53" s="11" t="str">
        <x:v>外部配件</x:v>
      </x:c>
      <x:c r="V53" s="11" t="str">
        <x:v>HOLD</x:v>
      </x:c>
    </x:row>
    <x:row r="54" ht="64" customHeight="1">
      <x:c r="A54" s="11" t="str">
        <x:v>B-050</x:v>
      </x:c>
      <x:c r="B54" s="11" t="str">
        <x:v>2.2µF LDO稳定电容</x:v>
      </x:c>
      <x:c r="C54" s="11" t="str">
        <x:v>2.2µF 25V X7R</x:v>
      </x:c>
      <x:c r="D54" s="11" t="str">
        <x:v>UNKNOWN_VERIFY</x:v>
      </x:c>
      <x:c r="E54" s="13" t="n">
        <x:v>0</x:v>
      </x:c>
      <x:c r="F54" s="14" t="n">
        <x:v>0.1</x:v>
      </x:c>
      <x:c r="G54" s="13" t="n">
        <x:f>ROUNDUP(E54*(1+F54),0)</x:f>
        <x:v>0</x:v>
      </x:c>
      <x:c r="H54" s="11" t="str"/>
      <x:c r="I54" s="11" t="str">
        <x:v>0805; Pin1/EP原生库待核</x:v>
      </x:c>
      <x:c r="J54" s="11" t="str">
        <x:v>按原v5零件计数移植；新布板新增保护网路另计</x:v>
      </x:c>
      <x:c r="K54" s="11" t="str">
        <x:v>UNKNOWN</x:v>
      </x:c>
      <x:c r="L54" s="11" t="str">
        <x:v>外部独立电源 / 线束</x:v>
      </x:c>
      <x:c r="M54" s="11" t="str">
        <x:v>https://github.com/loverlike1216/SonoField-FPGA/blob/main/v5/hardware/bom/BOM_MASTER.csv</x:v>
      </x:c>
      <x:c r="N54" s="11" t="str">
        <x:v>授权渠道待选；不默认替代</x:v>
      </x:c>
      <x:c r="O54" s="11" t="str">
        <x:v>UNKNOWN_VERIFY</x:v>
      </x:c>
      <x:c r="P54" s="11" t="str">
        <x:v>2026-10-11</x:v>
      </x:c>
      <x:c r="Q54" s="11" t="str">
        <x:v>INHERITED_CANDIDATE_REQUIRES_NATIVE_PIN_REVIEW</x:v>
      </x:c>
      <x:c r="R54" s="11" t="str">
        <x:v>User v5 scope; no procurement permission</x:v>
      </x:c>
      <x:c r="S54" s="11" t="str">
        <x:v>Inherited candidate quantity; netlist/thermal review pending</x:v>
      </x:c>
      <x:c r="T54" s="11" t="str">
        <x:v>UNKNOWN</x:v>
      </x:c>
      <x:c r="U54" s="11" t="str">
        <x:v>外部配件</x:v>
      </x:c>
      <x:c r="V54" s="11" t="str">
        <x:v>HOLD</x:v>
      </x:c>
    </x:row>
    <x:row r="55" ht="64" customHeight="1">
      <x:c r="A55" s="11" t="str">
        <x:v>B-051</x:v>
      </x:c>
      <x:c r="B55" s="11" t="str">
        <x:v>470µF低ESR主储能</x:v>
      </x:c>
      <x:c r="C55" s="11" t="str">
        <x:v>470µF 35V</x:v>
      </x:c>
      <x:c r="D55" s="11" t="str">
        <x:v>UNKNOWN_VERIFY</x:v>
      </x:c>
      <x:c r="E55" s="13" t="n">
        <x:v>0</x:v>
      </x:c>
      <x:c r="F55" s="14" t="n">
        <x:v>0.1</x:v>
      </x:c>
      <x:c r="G55" s="13" t="n">
        <x:f>ROUNDUP(E55*(1+F55),0)</x:f>
        <x:v>0</x:v>
      </x:c>
      <x:c r="H55" s="11" t="str"/>
      <x:c r="I55" s="11" t="str">
        <x:v>THT; Pin1/EP原生库待核</x:v>
      </x:c>
      <x:c r="J55" s="11" t="str">
        <x:v>按原v5零件计数移植；新布板新增保护网路另计</x:v>
      </x:c>
      <x:c r="K55" s="11" t="str">
        <x:v>UNKNOWN</x:v>
      </x:c>
      <x:c r="L55" s="11" t="str">
        <x:v>外部独立电源 / 线束</x:v>
      </x:c>
      <x:c r="M55" s="11" t="str">
        <x:v>https://github.com/loverlike1216/SonoField-FPGA/blob/main/v5/hardware/bom/BOM_MASTER.csv</x:v>
      </x:c>
      <x:c r="N55" s="11" t="str">
        <x:v>授权渠道待选；不默认替代</x:v>
      </x:c>
      <x:c r="O55" s="11" t="str">
        <x:v>UNKNOWN_VERIFY</x:v>
      </x:c>
      <x:c r="P55" s="11" t="str">
        <x:v>2026-10-11</x:v>
      </x:c>
      <x:c r="Q55" s="11" t="str">
        <x:v>INHERITED_CANDIDATE_REQUIRES_NATIVE_PIN_REVIEW</x:v>
      </x:c>
      <x:c r="R55" s="11" t="str">
        <x:v>User v5 scope; no procurement permission</x:v>
      </x:c>
      <x:c r="S55" s="11" t="str">
        <x:v>No central12V supply/converter or5V-to5V LDO headroom; central header budget HOLD</x:v>
      </x:c>
      <x:c r="T55" s="11" t="str">
        <x:v>UNKNOWN</x:v>
      </x:c>
      <x:c r="U55" s="11" t="str">
        <x:v>外部配件</x:v>
      </x:c>
      <x:c r="V55" s="11" t="str">
        <x:v>HOLD</x:v>
      </x:c>
    </x:row>
    <x:row r="56" ht="64" customHeight="1">
      <x:c r="A56" s="11" t="str">
        <x:v>B-052</x:v>
      </x:c>
      <x:c r="B56" s="11" t="str">
        <x:v>10nF RX耦合</x:v>
      </x:c>
      <x:c r="C56" s="11" t="str">
        <x:v>10nF 50V C0G</x:v>
      </x:c>
      <x:c r="D56" s="11" t="str">
        <x:v>UNKNOWN_VERIFY</x:v>
      </x:c>
      <x:c r="E56" s="13" t="n">
        <x:v>0</x:v>
      </x:c>
      <x:c r="F56" s="14" t="n">
        <x:v>0.1</x:v>
      </x:c>
      <x:c r="G56" s="13" t="n">
        <x:f>ROUNDUP(E56*(1+F56),0)</x:f>
        <x:v>0</x:v>
      </x:c>
      <x:c r="H56" s="11" t="str"/>
      <x:c r="I56" s="11" t="str">
        <x:v>0603; Pin1/EP原生库待核</x:v>
      </x:c>
      <x:c r="J56" s="11" t="str">
        <x:v>按原v5零件计数移植；新布板新增保护网路另计</x:v>
      </x:c>
      <x:c r="K56" s="11" t="str">
        <x:v>UNKNOWN</x:v>
      </x:c>
      <x:c r="L56" s="11" t="str">
        <x:v>外部独立电源 / 线束</x:v>
      </x:c>
      <x:c r="M56" s="11" t="str">
        <x:v>https://github.com/loverlike1216/SonoField-FPGA/blob/main/v5/hardware/bom/BOM_MASTER.csv</x:v>
      </x:c>
      <x:c r="N56" s="11" t="str">
        <x:v>授权渠道待选；不默认替代</x:v>
      </x:c>
      <x:c r="O56" s="11" t="str">
        <x:v>UNKNOWN_VERIFY</x:v>
      </x:c>
      <x:c r="P56" s="11" t="str">
        <x:v>2026-10-11</x:v>
      </x:c>
      <x:c r="Q56" s="11" t="str">
        <x:v>INHERITED_CANDIDATE_REQUIRES_NATIVE_PIN_REVIEW</x:v>
      </x:c>
      <x:c r="R56" s="11" t="str">
        <x:v>User v5 scope; no procurement permission</x:v>
      </x:c>
      <x:c r="S56" s="11" t="str">
        <x:v>Inherited candidate quantity; netlist/thermal review pending</x:v>
      </x:c>
      <x:c r="T56" s="11" t="str">
        <x:v>UNKNOWN</x:v>
      </x:c>
      <x:c r="U56" s="11" t="str">
        <x:v>外部配件</x:v>
      </x:c>
      <x:c r="V56" s="11" t="str">
        <x:v>HOLD</x:v>
      </x:c>
    </x:row>
    <x:row r="57" ht="64" customHeight="1">
      <x:c r="A57" s="11" t="str">
        <x:v>B-053</x:v>
      </x:c>
      <x:c r="B57" s="11" t="str">
        <x:v>1nF RX噪声过滤</x:v>
      </x:c>
      <x:c r="C57" s="11" t="str">
        <x:v>1nF 50V C0G</x:v>
      </x:c>
      <x:c r="D57" s="11" t="str">
        <x:v>UNKNOWN_VERIFY</x:v>
      </x:c>
      <x:c r="E57" s="13" t="n">
        <x:v>0</x:v>
      </x:c>
      <x:c r="F57" s="14" t="n">
        <x:v>0.1</x:v>
      </x:c>
      <x:c r="G57" s="13" t="n">
        <x:f>ROUNDUP(E57*(1+F57),0)</x:f>
        <x:v>0</x:v>
      </x:c>
      <x:c r="H57" s="11" t="str"/>
      <x:c r="I57" s="11" t="str">
        <x:v>0603; Pin1/EP原生库待核</x:v>
      </x:c>
      <x:c r="J57" s="11" t="str">
        <x:v>按原v5零件计数移植；新布板新增保护网路另计</x:v>
      </x:c>
      <x:c r="K57" s="11" t="str">
        <x:v>UNKNOWN</x:v>
      </x:c>
      <x:c r="L57" s="11" t="str">
        <x:v>外部独立电源 / 线束</x:v>
      </x:c>
      <x:c r="M57" s="11" t="str">
        <x:v>https://github.com/loverlike1216/SonoField-FPGA/blob/main/v5/hardware/bom/BOM_MASTER.csv</x:v>
      </x:c>
      <x:c r="N57" s="11" t="str">
        <x:v>授权渠道待选；不默认替代</x:v>
      </x:c>
      <x:c r="O57" s="11" t="str">
        <x:v>UNKNOWN_VERIFY</x:v>
      </x:c>
      <x:c r="P57" s="11" t="str">
        <x:v>2026-10-11</x:v>
      </x:c>
      <x:c r="Q57" s="11" t="str">
        <x:v>INHERITED_CANDIDATE_REQUIRES_NATIVE_PIN_REVIEW</x:v>
      </x:c>
      <x:c r="R57" s="11" t="str">
        <x:v>User v5 scope; no procurement permission</x:v>
      </x:c>
      <x:c r="S57" s="11" t="str">
        <x:v>Inherited candidate quantity; netlist/thermal review pending</x:v>
      </x:c>
      <x:c r="T57" s="11" t="str">
        <x:v>UNKNOWN</x:v>
      </x:c>
      <x:c r="U57" s="11" t="str">
        <x:v>外部配件</x:v>
      </x:c>
      <x:c r="V57" s="11" t="str">
        <x:v>HOLD</x:v>
      </x:c>
    </x:row>
    <x:row r="58" ht="64" customHeight="1">
      <x:c r="A58" s="11" t="str">
        <x:v>B-054</x:v>
      </x:c>
      <x:c r="B58" s="11" t="str">
        <x:v>100kΩ上拉/下拉</x:v>
      </x:c>
      <x:c r="C58" s="11" t="str">
        <x:v>100kΩ 1%</x:v>
      </x:c>
      <x:c r="D58" s="11" t="str">
        <x:v>UNKNOWN_VERIFY</x:v>
      </x:c>
      <x:c r="E58" s="13" t="n">
        <x:v>0</x:v>
      </x:c>
      <x:c r="F58" s="14" t="n">
        <x:v>0.1</x:v>
      </x:c>
      <x:c r="G58" s="13" t="n">
        <x:f>ROUNDUP(E58*(1+F58),0)</x:f>
        <x:v>0</x:v>
      </x:c>
      <x:c r="H58" s="11" t="str"/>
      <x:c r="I58" s="11" t="str">
        <x:v>0603; Pin1/EP原生库待核</x:v>
      </x:c>
      <x:c r="J58" s="11" t="str">
        <x:v>按原v5零件计数移植；新布板新增保护网路另计</x:v>
      </x:c>
      <x:c r="K58" s="11" t="str">
        <x:v>UNKNOWN</x:v>
      </x:c>
      <x:c r="L58" s="11" t="str">
        <x:v>外部独立电源 / 线束</x:v>
      </x:c>
      <x:c r="M58" s="11" t="str">
        <x:v>https://github.com/loverlike1216/SonoField-FPGA/blob/main/v5/hardware/bom/BOM_MASTER.csv</x:v>
      </x:c>
      <x:c r="N58" s="11" t="str">
        <x:v>授权渠道待选；不默认替代</x:v>
      </x:c>
      <x:c r="O58" s="11" t="str">
        <x:v>UNKNOWN_VERIFY</x:v>
      </x:c>
      <x:c r="P58" s="11" t="str">
        <x:v>2026-10-11</x:v>
      </x:c>
      <x:c r="Q58" s="11" t="str">
        <x:v>INHERITED_CANDIDATE_REQUIRES_NATIVE_PIN_REVIEW</x:v>
      </x:c>
      <x:c r="R58" s="11" t="str">
        <x:v>User v5 scope; no procurement permission</x:v>
      </x:c>
      <x:c r="S58" s="11" t="str">
        <x:v>Inherited candidate quantity; netlist/thermal review pending</x:v>
      </x:c>
      <x:c r="T58" s="11" t="str">
        <x:v>UNKNOWN</x:v>
      </x:c>
      <x:c r="U58" s="11" t="str">
        <x:v>外部配件</x:v>
      </x:c>
      <x:c r="V58" s="11" t="str">
        <x:v>HOLD</x:v>
      </x:c>
    </x:row>
    <x:row r="59" ht="64" customHeight="1">
      <x:c r="A59" s="11" t="str">
        <x:v>B-055</x:v>
      </x:c>
      <x:c r="B59" s="11" t="str">
        <x:v>10kΩ上拉/下拉</x:v>
      </x:c>
      <x:c r="C59" s="11" t="str">
        <x:v>10kΩ 1%</x:v>
      </x:c>
      <x:c r="D59" s="11" t="str">
        <x:v>UNKNOWN_VERIFY</x:v>
      </x:c>
      <x:c r="E59" s="13" t="n">
        <x:v>0</x:v>
      </x:c>
      <x:c r="F59" s="14" t="n">
        <x:v>0.1</x:v>
      </x:c>
      <x:c r="G59" s="13" t="n">
        <x:f>ROUNDUP(E59*(1+F59),0)</x:f>
        <x:v>0</x:v>
      </x:c>
      <x:c r="H59" s="11" t="str"/>
      <x:c r="I59" s="11" t="str">
        <x:v>0603; Pin1/EP原生库待核</x:v>
      </x:c>
      <x:c r="J59" s="11" t="str">
        <x:v>按原v5零件计数移植；新布板新增保护网路另计</x:v>
      </x:c>
      <x:c r="K59" s="11" t="str">
        <x:v>UNKNOWN</x:v>
      </x:c>
      <x:c r="L59" s="11" t="str">
        <x:v>外部独立电源 / 线束</x:v>
      </x:c>
      <x:c r="M59" s="11" t="str">
        <x:v>https://github.com/loverlike1216/SonoField-FPGA/blob/main/v5/hardware/bom/BOM_MASTER.csv</x:v>
      </x:c>
      <x:c r="N59" s="11" t="str">
        <x:v>授权渠道待选；不默认替代</x:v>
      </x:c>
      <x:c r="O59" s="11" t="str">
        <x:v>UNKNOWN_VERIFY</x:v>
      </x:c>
      <x:c r="P59" s="11" t="str">
        <x:v>2026-10-11</x:v>
      </x:c>
      <x:c r="Q59" s="11" t="str">
        <x:v>INHERITED_CANDIDATE_REQUIRES_NATIVE_PIN_REVIEW</x:v>
      </x:c>
      <x:c r="R59" s="11" t="str">
        <x:v>User v5 scope; no procurement permission</x:v>
      </x:c>
      <x:c r="S59" s="11" t="str">
        <x:v>Inherited candidate quantity; netlist/thermal review pending</x:v>
      </x:c>
      <x:c r="T59" s="11" t="str">
        <x:v>UNKNOWN</x:v>
      </x:c>
      <x:c r="U59" s="11" t="str">
        <x:v>外部配件</x:v>
      </x:c>
      <x:c r="V59" s="11" t="str">
        <x:v>HOLD</x:v>
      </x:c>
    </x:row>
    <x:row r="60" ht="64" customHeight="1">
      <x:c r="A60" s="11" t="str">
        <x:v>B-056</x:v>
      </x:c>
      <x:c r="B60" s="11" t="str">
        <x:v>4.7kΩ I²C上拉</x:v>
      </x:c>
      <x:c r="C60" s="11" t="str">
        <x:v>4.7kΩ 1%</x:v>
      </x:c>
      <x:c r="D60" s="11" t="str">
        <x:v>UNKNOWN_VERIFY</x:v>
      </x:c>
      <x:c r="E60" s="13" t="n">
        <x:v>0</x:v>
      </x:c>
      <x:c r="F60" s="14" t="n">
        <x:v>0.1</x:v>
      </x:c>
      <x:c r="G60" s="13" t="n">
        <x:f>ROUNDUP(E60*(1+F60),0)</x:f>
        <x:v>0</x:v>
      </x:c>
      <x:c r="H60" s="11" t="str"/>
      <x:c r="I60" s="11" t="str">
        <x:v>0603; Pin1/EP原生库待核</x:v>
      </x:c>
      <x:c r="J60" s="11" t="str">
        <x:v>按原v5零件计数移植；新布板新增保护网路另计</x:v>
      </x:c>
      <x:c r="K60" s="11" t="str">
        <x:v>UNKNOWN</x:v>
      </x:c>
      <x:c r="L60" s="11" t="str">
        <x:v>外部独立电源 / 线束</x:v>
      </x:c>
      <x:c r="M60" s="11" t="str">
        <x:v>https://github.com/loverlike1216/SonoField-FPGA/blob/main/v5/hardware/bom/BOM_MASTER.csv</x:v>
      </x:c>
      <x:c r="N60" s="11" t="str">
        <x:v>授权渠道待选；不默认替代</x:v>
      </x:c>
      <x:c r="O60" s="11" t="str">
        <x:v>UNKNOWN_VERIFY</x:v>
      </x:c>
      <x:c r="P60" s="11" t="str">
        <x:v>2026-10-11</x:v>
      </x:c>
      <x:c r="Q60" s="11" t="str">
        <x:v>INHERITED_CANDIDATE_REQUIRES_NATIVE_PIN_REVIEW</x:v>
      </x:c>
      <x:c r="R60" s="11" t="str">
        <x:v>User v5 scope; no procurement permission</x:v>
      </x:c>
      <x:c r="S60" s="11" t="str">
        <x:v>Inherited candidate quantity; netlist/thermal review pending</x:v>
      </x:c>
      <x:c r="T60" s="11" t="str">
        <x:v>UNKNOWN</x:v>
      </x:c>
      <x:c r="U60" s="11" t="str">
        <x:v>外部配件</x:v>
      </x:c>
      <x:c r="V60" s="11" t="str">
        <x:v>HOLD</x:v>
      </x:c>
    </x:row>
    <x:row r="61" ht="64" customHeight="1">
      <x:c r="A61" s="11" t="str">
        <x:v>B-057</x:v>
      </x:c>
      <x:c r="B61" s="11" t="str">
        <x:v>1kΩ RX串联</x:v>
      </x:c>
      <x:c r="C61" s="11" t="str">
        <x:v>1kΩ 1%</x:v>
      </x:c>
      <x:c r="D61" s="11" t="str">
        <x:v>UNKNOWN_VERIFY</x:v>
      </x:c>
      <x:c r="E61" s="13" t="n">
        <x:v>0</x:v>
      </x:c>
      <x:c r="F61" s="14" t="n">
        <x:v>0.1</x:v>
      </x:c>
      <x:c r="G61" s="13" t="n">
        <x:f>ROUNDUP(E61*(1+F61),0)</x:f>
        <x:v>0</x:v>
      </x:c>
      <x:c r="H61" s="11" t="str"/>
      <x:c r="I61" s="11" t="str">
        <x:v>0603; Pin1/EP原生库待核</x:v>
      </x:c>
      <x:c r="J61" s="11" t="str">
        <x:v>按原v5零件计数移植；新布板新增保护网路另计</x:v>
      </x:c>
      <x:c r="K61" s="11" t="str">
        <x:v>UNKNOWN</x:v>
      </x:c>
      <x:c r="L61" s="11" t="str">
        <x:v>外部独立电源 / 线束</x:v>
      </x:c>
      <x:c r="M61" s="11" t="str">
        <x:v>https://github.com/loverlike1216/SonoField-FPGA/blob/main/v5/hardware/bom/BOM_MASTER.csv</x:v>
      </x:c>
      <x:c r="N61" s="11" t="str">
        <x:v>授权渠道待选；不默认替代</x:v>
      </x:c>
      <x:c r="O61" s="11" t="str">
        <x:v>UNKNOWN_VERIFY</x:v>
      </x:c>
      <x:c r="P61" s="11" t="str">
        <x:v>2026-10-11</x:v>
      </x:c>
      <x:c r="Q61" s="11" t="str">
        <x:v>INHERITED_CANDIDATE_REQUIRES_NATIVE_PIN_REVIEW</x:v>
      </x:c>
      <x:c r="R61" s="11" t="str">
        <x:v>User v5 scope; no procurement permission</x:v>
      </x:c>
      <x:c r="S61" s="11" t="str">
        <x:v>Inherited candidate quantity; netlist/thermal review pending</x:v>
      </x:c>
      <x:c r="T61" s="11" t="str">
        <x:v>UNKNOWN</x:v>
      </x:c>
      <x:c r="U61" s="11" t="str">
        <x:v>外部配件</x:v>
      </x:c>
      <x:c r="V61" s="11" t="str">
        <x:v>HOLD</x:v>
      </x:c>
    </x:row>
    <x:row r="62" ht="64" customHeight="1">
      <x:c r="A62" s="11" t="str">
        <x:v>B-058</x:v>
      </x:c>
      <x:c r="B62" s="11" t="str">
        <x:v>47Ω模拟阻尼</x:v>
      </x:c>
      <x:c r="C62" s="11" t="str">
        <x:v>47Ω 1%</x:v>
      </x:c>
      <x:c r="D62" s="11" t="str">
        <x:v>UNKNOWN_VERIFY</x:v>
      </x:c>
      <x:c r="E62" s="13" t="n">
        <x:v>0</x:v>
      </x:c>
      <x:c r="F62" s="14" t="n">
        <x:v>0.1</x:v>
      </x:c>
      <x:c r="G62" s="13" t="n">
        <x:f>ROUNDUP(E62*(1+F62),0)</x:f>
        <x:v>0</x:v>
      </x:c>
      <x:c r="H62" s="11" t="str"/>
      <x:c r="I62" s="11" t="str">
        <x:v>0603; Pin1/EP原生库待核</x:v>
      </x:c>
      <x:c r="J62" s="11" t="str">
        <x:v>按原v5零件计数移植；新布板新增保护网路另计</x:v>
      </x:c>
      <x:c r="K62" s="11" t="str">
        <x:v>UNKNOWN</x:v>
      </x:c>
      <x:c r="L62" s="11" t="str">
        <x:v>外部独立电源 / 线束</x:v>
      </x:c>
      <x:c r="M62" s="11" t="str">
        <x:v>https://github.com/loverlike1216/SonoField-FPGA/blob/main/v5/hardware/bom/BOM_MASTER.csv</x:v>
      </x:c>
      <x:c r="N62" s="11" t="str">
        <x:v>授权渠道待选；不默认替代</x:v>
      </x:c>
      <x:c r="O62" s="11" t="str">
        <x:v>UNKNOWN_VERIFY</x:v>
      </x:c>
      <x:c r="P62" s="11" t="str">
        <x:v>2026-10-11</x:v>
      </x:c>
      <x:c r="Q62" s="11" t="str">
        <x:v>INHERITED_CANDIDATE_REQUIRES_NATIVE_PIN_REVIEW</x:v>
      </x:c>
      <x:c r="R62" s="11" t="str">
        <x:v>User v5 scope; no procurement permission</x:v>
      </x:c>
      <x:c r="S62" s="11" t="str">
        <x:v>Inherited candidate quantity; netlist/thermal review pending</x:v>
      </x:c>
      <x:c r="T62" s="11" t="str">
        <x:v>UNKNOWN</x:v>
      </x:c>
      <x:c r="U62" s="11" t="str">
        <x:v>外部配件</x:v>
      </x:c>
      <x:c r="V62" s="11" t="str">
        <x:v>HOLD</x:v>
      </x:c>
    </x:row>
    <x:row r="63" ht="64" customHeight="1">
      <x:c r="A63" s="11" t="str">
        <x:v>B-059</x:v>
      </x:c>
      <x:c r="B63" s="11" t="str">
        <x:v>33Ω高速阻尼</x:v>
      </x:c>
      <x:c r="C63" s="11" t="str">
        <x:v>33Ω 1%</x:v>
      </x:c>
      <x:c r="D63" s="11" t="str">
        <x:v>UNKNOWN_VERIFY</x:v>
      </x:c>
      <x:c r="E63" s="13" t="n">
        <x:v>0</x:v>
      </x:c>
      <x:c r="F63" s="14" t="n">
        <x:v>0.1</x:v>
      </x:c>
      <x:c r="G63" s="13" t="n">
        <x:f>ROUNDUP(E63*(1+F63),0)</x:f>
        <x:v>0</x:v>
      </x:c>
      <x:c r="H63" s="11" t="str"/>
      <x:c r="I63" s="11" t="str">
        <x:v>0603; Pin1/EP原生库待核</x:v>
      </x:c>
      <x:c r="J63" s="11" t="str">
        <x:v>按原v5零件计数移植；新布板新增保护网路另计</x:v>
      </x:c>
      <x:c r="K63" s="11" t="str">
        <x:v>UNKNOWN</x:v>
      </x:c>
      <x:c r="L63" s="11" t="str">
        <x:v>外部独立电源 / 线束</x:v>
      </x:c>
      <x:c r="M63" s="11" t="str">
        <x:v>https://github.com/loverlike1216/SonoField-FPGA/blob/main/v5/hardware/bom/BOM_MASTER.csv</x:v>
      </x:c>
      <x:c r="N63" s="11" t="str">
        <x:v>授权渠道待选；不默认替代</x:v>
      </x:c>
      <x:c r="O63" s="11" t="str">
        <x:v>UNKNOWN_VERIFY</x:v>
      </x:c>
      <x:c r="P63" s="11" t="str">
        <x:v>2026-10-11</x:v>
      </x:c>
      <x:c r="Q63" s="11" t="str">
        <x:v>INHERITED_CANDIDATE_REQUIRES_NATIVE_PIN_REVIEW</x:v>
      </x:c>
      <x:c r="R63" s="11" t="str">
        <x:v>User v5 scope; no procurement permission</x:v>
      </x:c>
      <x:c r="S63" s="11" t="str">
        <x:v>Inherited candidate quantity; netlist/thermal review pending</x:v>
      </x:c>
      <x:c r="T63" s="11" t="str">
        <x:v>UNKNOWN</x:v>
      </x:c>
      <x:c r="U63" s="11" t="str">
        <x:v>外部配件</x:v>
      </x:c>
      <x:c r="V63" s="11" t="str">
        <x:v>HOLD</x:v>
      </x:c>
    </x:row>
    <x:row r="64" ht="64" customHeight="1">
      <x:c r="A64" s="11" t="str">
        <x:v>B-060</x:v>
      </x:c>
      <x:c r="B64" s="11" t="str">
        <x:v>10Ω监测滤波</x:v>
      </x:c>
      <x:c r="C64" s="11" t="str">
        <x:v>10Ω 1%</x:v>
      </x:c>
      <x:c r="D64" s="11" t="str">
        <x:v>UNKNOWN_VERIFY</x:v>
      </x:c>
      <x:c r="E64" s="13" t="n">
        <x:v>0</x:v>
      </x:c>
      <x:c r="F64" s="14" t="n">
        <x:v>0.1</x:v>
      </x:c>
      <x:c r="G64" s="13" t="n">
        <x:f>ROUNDUP(E64*(1+F64),0)</x:f>
        <x:v>0</x:v>
      </x:c>
      <x:c r="H64" s="11" t="str"/>
      <x:c r="I64" s="11" t="str">
        <x:v>0603; Pin1/EP原生库待核</x:v>
      </x:c>
      <x:c r="J64" s="11" t="str">
        <x:v>按原v5零件计数移植；新布板新增保护网路另计</x:v>
      </x:c>
      <x:c r="K64" s="11" t="str">
        <x:v>UNKNOWN</x:v>
      </x:c>
      <x:c r="L64" s="11" t="str">
        <x:v>外部独立电源 / 线束</x:v>
      </x:c>
      <x:c r="M64" s="11" t="str">
        <x:v>https://github.com/loverlike1216/SonoField-FPGA/blob/main/v5/hardware/bom/BOM_MASTER.csv</x:v>
      </x:c>
      <x:c r="N64" s="11" t="str">
        <x:v>授权渠道待选；不默认替代</x:v>
      </x:c>
      <x:c r="O64" s="11" t="str">
        <x:v>UNKNOWN_VERIFY</x:v>
      </x:c>
      <x:c r="P64" s="11" t="str">
        <x:v>2026-10-11</x:v>
      </x:c>
      <x:c r="Q64" s="11" t="str">
        <x:v>INHERITED_CANDIDATE_REQUIRES_NATIVE_PIN_REVIEW</x:v>
      </x:c>
      <x:c r="R64" s="11" t="str">
        <x:v>User v5 scope; no procurement permission</x:v>
      </x:c>
      <x:c r="S64" s="11" t="str">
        <x:v>Inherited candidate quantity; netlist/thermal review pending</x:v>
      </x:c>
      <x:c r="T64" s="11" t="str">
        <x:v>UNKNOWN</x:v>
      </x:c>
      <x:c r="U64" s="11" t="str">
        <x:v>外部配件</x:v>
      </x:c>
      <x:c r="V64" s="11" t="str">
        <x:v>HOLD</x:v>
      </x:c>
    </x:row>
    <x:row r="65" ht="64" customHeight="1">
      <x:c r="A65" s="11" t="str">
        <x:v>B-061</x:v>
      </x:c>
      <x:c r="B65" s="11" t="str">
        <x:v>0Ω通道选择跳线</x:v>
      </x:c>
      <x:c r="C65" s="11" t="str">
        <x:v>0Ω 0603</x:v>
      </x:c>
      <x:c r="D65" s="11" t="str">
        <x:v>UNKNOWN_VERIFY</x:v>
      </x:c>
      <x:c r="E65" s="13" t="n">
        <x:v>0</x:v>
      </x:c>
      <x:c r="F65" s="14" t="n">
        <x:v>0.1</x:v>
      </x:c>
      <x:c r="G65" s="13" t="n">
        <x:f>ROUNDUP(E65*(1+F65),0)</x:f>
        <x:v>0</x:v>
      </x:c>
      <x:c r="H65" s="11" t="str"/>
      <x:c r="I65" s="11" t="str">
        <x:v>0603; Pin1/EP原生库待核</x:v>
      </x:c>
      <x:c r="J65" s="11" t="str">
        <x:v>按原v5零件计数移植；新布板新增保护网路另计</x:v>
      </x:c>
      <x:c r="K65" s="11" t="str">
        <x:v>UNKNOWN</x:v>
      </x:c>
      <x:c r="L65" s="11" t="str">
        <x:v>外部独立电源 / 线束</x:v>
      </x:c>
      <x:c r="M65" s="11" t="str">
        <x:v>https://github.com/loverlike1216/SonoField-FPGA/blob/main/v5/hardware/bom/BOM_MASTER.csv</x:v>
      </x:c>
      <x:c r="N65" s="11" t="str">
        <x:v>授权渠道待选；不默认替代</x:v>
      </x:c>
      <x:c r="O65" s="11" t="str">
        <x:v>UNKNOWN_VERIFY</x:v>
      </x:c>
      <x:c r="P65" s="11" t="str">
        <x:v>2026-10-11</x:v>
      </x:c>
      <x:c r="Q65" s="11" t="str">
        <x:v>INHERITED_CANDIDATE_REQUIRES_NATIVE_PIN_REVIEW</x:v>
      </x:c>
      <x:c r="R65" s="11" t="str">
        <x:v>User v5 scope; no procurement permission</x:v>
      </x:c>
      <x:c r="S65" s="11" t="str">
        <x:v>Inherited candidate quantity; netlist/thermal review pending</x:v>
      </x:c>
      <x:c r="T65" s="11" t="str">
        <x:v>UNKNOWN</x:v>
      </x:c>
      <x:c r="U65" s="11" t="str">
        <x:v>外部配件</x:v>
      </x:c>
      <x:c r="V65" s="11" t="str">
        <x:v>HOLD</x:v>
      </x:c>
    </x:row>
    <x:row r="66" ht="64" customHeight="1">
      <x:c r="A66" s="11" t="str">
        <x:v>B-062</x:v>
      </x:c>
      <x:c r="B66" s="11" t="str">
        <x:v>1.65kΩ限流编程</x:v>
      </x:c>
      <x:c r="C66" s="11" t="str">
        <x:v>1.65kΩ 1%</x:v>
      </x:c>
      <x:c r="D66" s="11" t="str">
        <x:v>UNKNOWN_VERIFY</x:v>
      </x:c>
      <x:c r="E66" s="13" t="n">
        <x:v>0</x:v>
      </x:c>
      <x:c r="F66" s="14" t="n">
        <x:v>0.1</x:v>
      </x:c>
      <x:c r="G66" s="13" t="n">
        <x:f>ROUNDUP(E66*(1+F66),0)</x:f>
        <x:v>0</x:v>
      </x:c>
      <x:c r="H66" s="11" t="str"/>
      <x:c r="I66" s="11" t="str">
        <x:v>0603; Pin1/EP原生库待核</x:v>
      </x:c>
      <x:c r="J66" s="11" t="str">
        <x:v>1.65kΩ→约2.02A标称；不是5.5A</x:v>
      </x:c>
      <x:c r="K66" s="11" t="str">
        <x:v>UNKNOWN</x:v>
      </x:c>
      <x:c r="L66" s="11" t="str">
        <x:v>外部独立电源 / 线束</x:v>
      </x:c>
      <x:c r="M66" s="11" t="str">
        <x:v>https://github.com/loverlike1216/SonoField-FPGA/blob/main/v5/hardware/bom/BOM_MASTER.csv</x:v>
      </x:c>
      <x:c r="N66" s="11" t="str">
        <x:v>授权渠道待选；不默认替代</x:v>
      </x:c>
      <x:c r="O66" s="11" t="str">
        <x:v>UNKNOWN_VERIFY</x:v>
      </x:c>
      <x:c r="P66" s="11" t="str">
        <x:v>2026-10-11</x:v>
      </x:c>
      <x:c r="Q66" s="11" t="str">
        <x:v>INHERITED_CANDIDATE_REQUIRES_NATIVE_PIN_REVIEW</x:v>
      </x:c>
      <x:c r="R66" s="11" t="str">
        <x:v>User v5 scope; no procurement permission</x:v>
      </x:c>
      <x:c r="S66" s="11" t="str">
        <x:v>Inherited candidate quantity; netlist/thermal review pending</x:v>
      </x:c>
      <x:c r="T66" s="11" t="str">
        <x:v>UNKNOWN</x:v>
      </x:c>
      <x:c r="U66" s="11" t="str">
        <x:v>外部配件</x:v>
      </x:c>
      <x:c r="V66" s="11" t="str">
        <x:v>HOLD</x:v>
      </x:c>
    </x:row>
    <x:row r="67" ht="64" customHeight="1">
      <x:c r="A67" s="11" t="str">
        <x:v>B-063</x:v>
      </x:c>
      <x:c r="B67" s="11" t="str">
        <x:v>1.37MΩ过压编程</x:v>
      </x:c>
      <x:c r="C67" s="11" t="str">
        <x:v>1.37MΩ 1%</x:v>
      </x:c>
      <x:c r="D67" s="11" t="str">
        <x:v>UNKNOWN_VERIFY</x:v>
      </x:c>
      <x:c r="E67" s="13" t="n">
        <x:v>0</x:v>
      </x:c>
      <x:c r="F67" s="14" t="n">
        <x:v>0.1</x:v>
      </x:c>
      <x:c r="G67" s="13" t="n">
        <x:f>ROUNDUP(E67*(1+F67),0)</x:f>
        <x:v>0</x:v>
      </x:c>
      <x:c r="H67" s="11" t="str"/>
      <x:c r="I67" s="11" t="str">
        <x:v>0603; Pin1/EP原生库待核</x:v>
      </x:c>
      <x:c r="J67" s="11" t="str">
        <x:v>按原v5零件计数移植；新布板新增保护网路另计</x:v>
      </x:c>
      <x:c r="K67" s="11" t="str">
        <x:v>UNKNOWN</x:v>
      </x:c>
      <x:c r="L67" s="11" t="str">
        <x:v>外部独立电源 / 线束</x:v>
      </x:c>
      <x:c r="M67" s="11" t="str">
        <x:v>https://github.com/loverlike1216/SonoField-FPGA/blob/main/v5/hardware/bom/BOM_MASTER.csv</x:v>
      </x:c>
      <x:c r="N67" s="11" t="str">
        <x:v>授权渠道待选；不默认替代</x:v>
      </x:c>
      <x:c r="O67" s="11" t="str">
        <x:v>UNKNOWN_VERIFY</x:v>
      </x:c>
      <x:c r="P67" s="11" t="str">
        <x:v>2026-10-11</x:v>
      </x:c>
      <x:c r="Q67" s="11" t="str">
        <x:v>INHERITED_CANDIDATE_REQUIRES_NATIVE_PIN_REVIEW</x:v>
      </x:c>
      <x:c r="R67" s="11" t="str">
        <x:v>User v5 scope; no procurement permission</x:v>
      </x:c>
      <x:c r="S67" s="11" t="str">
        <x:v>Inherited candidate quantity; netlist/thermal review pending</x:v>
      </x:c>
      <x:c r="T67" s="11" t="str">
        <x:v>UNKNOWN</x:v>
      </x:c>
      <x:c r="U67" s="11" t="str">
        <x:v>外部配件</x:v>
      </x:c>
      <x:c r="V67" s="11" t="str">
        <x:v>HOLD</x:v>
      </x:c>
    </x:row>
    <x:row r="68" ht="64" customHeight="1">
      <x:c r="A68" s="11" t="str">
        <x:v>B-064</x:v>
      </x:c>
      <x:c r="B68" s="11" t="str">
        <x:v>590kΩ反馈</x:v>
      </x:c>
      <x:c r="C68" s="11" t="str">
        <x:v>590kΩ 1%</x:v>
      </x:c>
      <x:c r="D68" s="11" t="str">
        <x:v>UNKNOWN_VERIFY</x:v>
      </x:c>
      <x:c r="E68" s="13" t="n">
        <x:v>0</x:v>
      </x:c>
      <x:c r="F68" s="14" t="n">
        <x:v>0.1</x:v>
      </x:c>
      <x:c r="G68" s="13" t="n">
        <x:f>ROUNDUP(E68*(1+F68),0)</x:f>
        <x:v>0</x:v>
      </x:c>
      <x:c r="H68" s="11" t="str"/>
      <x:c r="I68" s="11" t="str">
        <x:v>0603; Pin1/EP原生库待核</x:v>
      </x:c>
      <x:c r="J68" s="11" t="str">
        <x:v>按原v5零件计数移植；新布板新增保护网路另计</x:v>
      </x:c>
      <x:c r="K68" s="11" t="str">
        <x:v>UNKNOWN</x:v>
      </x:c>
      <x:c r="L68" s="11" t="str">
        <x:v>外部独立电源 / 线束</x:v>
      </x:c>
      <x:c r="M68" s="11" t="str">
        <x:v>https://github.com/loverlike1216/SonoField-FPGA/blob/main/v5/hardware/bom/BOM_MASTER.csv</x:v>
      </x:c>
      <x:c r="N68" s="11" t="str">
        <x:v>授权渠道待选；不默认替代</x:v>
      </x:c>
      <x:c r="O68" s="11" t="str">
        <x:v>UNKNOWN_VERIFY</x:v>
      </x:c>
      <x:c r="P68" s="11" t="str">
        <x:v>2026-10-11</x:v>
      </x:c>
      <x:c r="Q68" s="11" t="str">
        <x:v>INHERITED_CANDIDATE_REQUIRES_NATIVE_PIN_REVIEW</x:v>
      </x:c>
      <x:c r="R68" s="11" t="str">
        <x:v>User v5 scope; no procurement permission</x:v>
      </x:c>
      <x:c r="S68" s="11" t="str">
        <x:v>Inherited candidate quantity; netlist/thermal review pending</x:v>
      </x:c>
      <x:c r="T68" s="11" t="str">
        <x:v>UNKNOWN</x:v>
      </x:c>
      <x:c r="U68" s="11" t="str">
        <x:v>外部配件</x:v>
      </x:c>
      <x:c r="V68" s="11" t="str">
        <x:v>HOLD</x:v>
      </x:c>
    </x:row>
    <x:row r="69" ht="64" customHeight="1">
      <x:c r="A69" s="11" t="str">
        <x:v>B-065</x:v>
      </x:c>
      <x:c r="B69" s="11" t="str">
        <x:v>100kΩ高精度反馈</x:v>
      </x:c>
      <x:c r="C69" s="11" t="str">
        <x:v>100kΩ 0.1%</x:v>
      </x:c>
      <x:c r="D69" s="11" t="str">
        <x:v>UNKNOWN_VERIFY</x:v>
      </x:c>
      <x:c r="E69" s="13" t="n">
        <x:v>0</x:v>
      </x:c>
      <x:c r="F69" s="14" t="n">
        <x:v>0.1</x:v>
      </x:c>
      <x:c r="G69" s="13" t="n">
        <x:f>ROUNDUP(E69*(1+F69),0)</x:f>
        <x:v>0</x:v>
      </x:c>
      <x:c r="H69" s="11" t="str"/>
      <x:c r="I69" s="11" t="str">
        <x:v>0603; Pin1/EP原生库待核</x:v>
      </x:c>
      <x:c r="J69" s="11" t="str">
        <x:v>按原v5零件计数移植；新布板新增保护网路另计</x:v>
      </x:c>
      <x:c r="K69" s="11" t="str">
        <x:v>UNKNOWN</x:v>
      </x:c>
      <x:c r="L69" s="11" t="str">
        <x:v>外部独立电源 / 线束</x:v>
      </x:c>
      <x:c r="M69" s="11" t="str">
        <x:v>https://github.com/loverlike1216/SonoField-FPGA/blob/main/v5/hardware/bom/BOM_MASTER.csv</x:v>
      </x:c>
      <x:c r="N69" s="11" t="str">
        <x:v>授权渠道待选；不默认替代</x:v>
      </x:c>
      <x:c r="O69" s="11" t="str">
        <x:v>UNKNOWN_VERIFY</x:v>
      </x:c>
      <x:c r="P69" s="11" t="str">
        <x:v>2026-10-11</x:v>
      </x:c>
      <x:c r="Q69" s="11" t="str">
        <x:v>INHERITED_CANDIDATE_REQUIRES_NATIVE_PIN_REVIEW</x:v>
      </x:c>
      <x:c r="R69" s="11" t="str">
        <x:v>User v5 scope; no procurement permission</x:v>
      </x:c>
      <x:c r="S69" s="11" t="str">
        <x:v>Inherited candidate quantity; netlist/thermal review pending</x:v>
      </x:c>
      <x:c r="T69" s="11" t="str">
        <x:v>UNKNOWN</x:v>
      </x:c>
      <x:c r="U69" s="11" t="str">
        <x:v>外部配件</x:v>
      </x:c>
      <x:c r="V69" s="11" t="str">
        <x:v>HOLD</x:v>
      </x:c>
    </x:row>
    <x:row r="70" ht="64" customHeight="1">
      <x:c r="A70" s="11" t="str">
        <x:v>B-066</x:v>
      </x:c>
      <x:c r="B70" s="11" t="str">
        <x:v>10kΩ高精度反馈</x:v>
      </x:c>
      <x:c r="C70" s="11" t="str">
        <x:v>10kΩ 0.1%</x:v>
      </x:c>
      <x:c r="D70" s="11" t="str">
        <x:v>UNKNOWN_VERIFY</x:v>
      </x:c>
      <x:c r="E70" s="13" t="n">
        <x:v>0</x:v>
      </x:c>
      <x:c r="F70" s="14" t="n">
        <x:v>0.1</x:v>
      </x:c>
      <x:c r="G70" s="13" t="n">
        <x:f>ROUNDUP(E70*(1+F70),0)</x:f>
        <x:v>0</x:v>
      </x:c>
      <x:c r="H70" s="11" t="str"/>
      <x:c r="I70" s="11" t="str">
        <x:v>0603; Pin1/EP原生库待核</x:v>
      </x:c>
      <x:c r="J70" s="11" t="str">
        <x:v>按原v5零件计数移植；新布板新增保护网路另计</x:v>
      </x:c>
      <x:c r="K70" s="11" t="str">
        <x:v>UNKNOWN</x:v>
      </x:c>
      <x:c r="L70" s="11" t="str">
        <x:v>外部独立电源 / 线束</x:v>
      </x:c>
      <x:c r="M70" s="11" t="str">
        <x:v>https://github.com/loverlike1216/SonoField-FPGA/blob/main/v5/hardware/bom/BOM_MASTER.csv</x:v>
      </x:c>
      <x:c r="N70" s="11" t="str">
        <x:v>授权渠道待选；不默认替代</x:v>
      </x:c>
      <x:c r="O70" s="11" t="str">
        <x:v>UNKNOWN_VERIFY</x:v>
      </x:c>
      <x:c r="P70" s="11" t="str">
        <x:v>2026-10-11</x:v>
      </x:c>
      <x:c r="Q70" s="11" t="str">
        <x:v>INHERITED_CANDIDATE_REQUIRES_NATIVE_PIN_REVIEW</x:v>
      </x:c>
      <x:c r="R70" s="11" t="str">
        <x:v>User v5 scope; no procurement permission</x:v>
      </x:c>
      <x:c r="S70" s="11" t="str">
        <x:v>Inherited candidate quantity; netlist/thermal review pending</x:v>
      </x:c>
      <x:c r="T70" s="11" t="str">
        <x:v>UNKNOWN</x:v>
      </x:c>
      <x:c r="U70" s="11" t="str">
        <x:v>外部配件</x:v>
      </x:c>
      <x:c r="V70" s="11" t="str">
        <x:v>HOLD</x:v>
      </x:c>
    </x:row>
    <x:row r="71" ht="64" customHeight="1">
      <x:c r="A71" s="11" t="str">
        <x:v>B-067</x:v>
      </x:c>
      <x:c r="B71" s="11" t="str">
        <x:v>TX电阻调谐预留</x:v>
      </x:c>
      <x:c r="C71" s="11" t="str">
        <x:v>1.2kΩ 0603 DNP</x:v>
      </x:c>
      <x:c r="D71" s="11" t="str">
        <x:v>UNKNOWN_VERIFY</x:v>
      </x:c>
      <x:c r="E71" s="13" t="n">
        <x:v>0</x:v>
      </x:c>
      <x:c r="F71" s="14" t="n">
        <x:v>0.1</x:v>
      </x:c>
      <x:c r="G71" s="13" t="n">
        <x:f>ROUNDUP(E71*(1+F71),0)</x:f>
        <x:v>0</x:v>
      </x:c>
      <x:c r="H71" s="11" t="str"/>
      <x:c r="I71" s="11" t="str">
        <x:v>0603; Pin1/EP原生库待核</x:v>
      </x:c>
      <x:c r="J71" s="11" t="str">
        <x:v>128位置默认不装</x:v>
      </x:c>
      <x:c r="K71" s="11" t="str">
        <x:v>UNKNOWN</x:v>
      </x:c>
      <x:c r="L71" s="11" t="str">
        <x:v>外部独立电源 / 线束</x:v>
      </x:c>
      <x:c r="M71" s="11" t="str">
        <x:v>https://github.com/loverlike1216/SonoField-FPGA/blob/main/v5/hardware/bom/BOM_MASTER.csv</x:v>
      </x:c>
      <x:c r="N71" s="11" t="str">
        <x:v>授权渠道待选；不默认替代</x:v>
      </x:c>
      <x:c r="O71" s="11" t="str">
        <x:v>UNKNOWN_VERIFY</x:v>
      </x:c>
      <x:c r="P71" s="11" t="str">
        <x:v>2026-10-11</x:v>
      </x:c>
      <x:c r="Q71" s="11" t="str">
        <x:v>INHERITED_CANDIDATE_REQUIRES_NATIVE_PIN_REVIEW</x:v>
      </x:c>
      <x:c r="R71" s="11" t="str">
        <x:v>User v5 scope; no procurement permission</x:v>
      </x:c>
      <x:c r="S71" s="11" t="str">
        <x:v>Inherited candidate quantity; netlist/thermal review pending</x:v>
      </x:c>
      <x:c r="T71" s="11" t="str">
        <x:v>UNKNOWN</x:v>
      </x:c>
      <x:c r="U71" s="11" t="str">
        <x:v>外部配件</x:v>
      </x:c>
      <x:c r="V71" s="11" t="str">
        <x:v>HOLD</x:v>
      </x:c>
    </x:row>
    <x:row r="72" ht="64" customHeight="1">
      <x:c r="A72" s="11" t="str">
        <x:v>B-068</x:v>
      </x:c>
      <x:c r="B72" s="11" t="str">
        <x:v>AFE增益调整预留</x:v>
      </x:c>
      <x:c r="C72" s="11" t="str">
        <x:v>39kΩ 0.1% DNP</x:v>
      </x:c>
      <x:c r="D72" s="11" t="str">
        <x:v>UNKNOWN_VERIFY</x:v>
      </x:c>
      <x:c r="E72" s="13" t="n">
        <x:v>0</x:v>
      </x:c>
      <x:c r="F72" s="14" t="n">
        <x:v>0.1</x:v>
      </x:c>
      <x:c r="G72" s="13" t="n">
        <x:f>ROUNDUP(E72*(1+F72),0)</x:f>
        <x:v>0</x:v>
      </x:c>
      <x:c r="H72" s="11" t="str"/>
      <x:c r="I72" s="11" t="str">
        <x:v>0603; Pin1/EP原生库待核</x:v>
      </x:c>
      <x:c r="J72" s="11" t="str">
        <x:v>默认不装；每通道调参位</x:v>
      </x:c>
      <x:c r="K72" s="11" t="str">
        <x:v>UNKNOWN</x:v>
      </x:c>
      <x:c r="L72" s="11" t="str">
        <x:v>外部独立电源 / 线束</x:v>
      </x:c>
      <x:c r="M72" s="11" t="str">
        <x:v>https://github.com/loverlike1216/SonoField-FPGA/blob/main/v5/hardware/bom/BOM_MASTER.csv</x:v>
      </x:c>
      <x:c r="N72" s="11" t="str">
        <x:v>授权渠道待选；不默认替代</x:v>
      </x:c>
      <x:c r="O72" s="11" t="str">
        <x:v>UNKNOWN_VERIFY</x:v>
      </x:c>
      <x:c r="P72" s="11" t="str">
        <x:v>2026-10-11</x:v>
      </x:c>
      <x:c r="Q72" s="11" t="str">
        <x:v>INHERITED_CANDIDATE_REQUIRES_NATIVE_PIN_REVIEW</x:v>
      </x:c>
      <x:c r="R72" s="11" t="str">
        <x:v>User v5 scope; no procurement permission</x:v>
      </x:c>
      <x:c r="S72" s="11" t="str">
        <x:v>Inherited candidate quantity; netlist/thermal review pending</x:v>
      </x:c>
      <x:c r="T72" s="11" t="str">
        <x:v>UNKNOWN</x:v>
      </x:c>
      <x:c r="U72" s="11" t="str">
        <x:v>外部配件</x:v>
      </x:c>
      <x:c r="V72" s="11" t="str">
        <x:v>HOLD</x:v>
      </x:c>
    </x:row>
    <x:row r="73" ht="64" customHeight="1">
      <x:c r="A73" s="11" t="str">
        <x:v>B-069</x:v>
      </x:c>
      <x:c r="B73" s="11" t="str">
        <x:v>4层阵列PCB</x:v>
      </x:c>
      <x:c r="C73" s="11" t="str">
        <x:v>200x180mm_COMMON_ARRAY_EXTENSION_CANDIDATE</x:v>
      </x:c>
      <x:c r="D73" s="11" t="str">
        <x:v>UNKNOWN_VERIFY</x:v>
      </x:c>
      <x:c r="E73" s="13" t="n">
        <x:v>0</x:v>
      </x:c>
      <x:c r="F73" s="14" t="n">
        <x:v>0.1</x:v>
      </x:c>
      <x:c r="G73" s="13" t="n">
        <x:f>ROUNDUP(E73*(1+F73),0)</x:f>
        <x:v>0</x:v>
      </x:c>
      <x:c r="H73" s="11" t="str"/>
      <x:c r="I73" s="11" t="str">
        <x:v>PCB; Pin1/EP原生库待核</x:v>
      </x:c>
      <x:c r="J73" s="11" t="str">
        <x:v>单板64 TX+4RX+驱动/AFE；空间布局受限需密度审查</x:v>
      </x:c>
      <x:c r="K73" s="11" t="str">
        <x:v>UNKNOWN</x:v>
      </x:c>
      <x:c r="L73" s="11" t="str">
        <x:v>外部独立电源 / 线束</x:v>
      </x:c>
      <x:c r="M73" s="11" t="str">
        <x:v>https://jlcpcb.com</x:v>
      </x:c>
      <x:c r="N73" s="11" t="str">
        <x:v>授权渠道待选；不默认替代</x:v>
      </x:c>
      <x:c r="O73" s="11" t="str">
        <x:v>UNKNOWN_VERIFY</x:v>
      </x:c>
      <x:c r="P73" s="11" t="str">
        <x:v>2026-10-11</x:v>
      </x:c>
      <x:c r="Q73" s="11" t="str">
        <x:v>INHERITED_CANDIDATE_REQUIRES_NATIVE_PIN_REVIEW</x:v>
      </x:c>
      <x:c r="R73" s="11" t="str">
        <x:v>User v5 scope; no procurement permission</x:v>
      </x:c>
      <x:c r="S73" s="11" t="str">
        <x:v>Electronics outside118.3mm acoustic projection; mechanical/routing/thermal proof HOLD</x:v>
      </x:c>
      <x:c r="T73" s="11" t="str">
        <x:v>UNKNOWN</x:v>
      </x:c>
      <x:c r="U73" s="11" t="str">
        <x:v>外部配件</x:v>
      </x:c>
      <x:c r="V73" s="11" t="str">
        <x:v>HOLD</x:v>
      </x:c>
    </x:row>
    <x:row r="74" ht="64" customHeight="1">
      <x:c r="A74" s="11" t="str">
        <x:v>B-070</x:v>
      </x:c>
      <x:c r="B74" s="11" t="str">
        <x:v>4层AX7020适配/ADC PCB</x:v>
      </x:c>
      <x:c r="C74" s="11" t="str">
        <x:v>100×80mm 4L候选</x:v>
      </x:c>
      <x:c r="D74" s="11" t="str">
        <x:v>UNKNOWN_VERIFY</x:v>
      </x:c>
      <x:c r="E74" s="13" t="n">
        <x:v>0</x:v>
      </x:c>
      <x:c r="F74" s="14" t="n">
        <x:v>0.1</x:v>
      </x:c>
      <x:c r="G74" s="13" t="n">
        <x:f>ROUNDUP(E74*(1+F74),0)</x:f>
        <x:v>0</x:v>
      </x:c>
      <x:c r="H74" s="11" t="str"/>
      <x:c r="I74" s="11" t="str">
        <x:v>PCB; Pin1/EP原生库待核</x:v>
      </x:c>
      <x:c r="J74" s="11" t="str">
        <x:v>尺寸随对接连接器/J10-J11位置确定</x:v>
      </x:c>
      <x:c r="K74" s="11" t="str">
        <x:v>UNKNOWN</x:v>
      </x:c>
      <x:c r="L74" s="11" t="str">
        <x:v>外部独立电源 / 线束</x:v>
      </x:c>
      <x:c r="M74" s="11" t="str">
        <x:v>https://jlcpcb.com</x:v>
      </x:c>
      <x:c r="N74" s="11" t="str">
        <x:v>授权渠道待选；不默认替代</x:v>
      </x:c>
      <x:c r="O74" s="11" t="str">
        <x:v>UNKNOWN_VERIFY</x:v>
      </x:c>
      <x:c r="P74" s="11" t="str">
        <x:v>2026-10-11</x:v>
      </x:c>
      <x:c r="Q74" s="11" t="str">
        <x:v>INHERITED_CANDIDATE_REQUIRES_NATIVE_PIN_REVIEW</x:v>
      </x:c>
      <x:c r="R74" s="11" t="str">
        <x:v>User v5 scope; no procurement permission</x:v>
      </x:c>
      <x:c r="S74" s="11" t="str">
        <x:v>Central interface board ONLY AX7020 protected single source per rail; no central external12V</x:v>
      </x:c>
      <x:c r="T74" s="11" t="str">
        <x:v>UNKNOWN</x:v>
      </x:c>
      <x:c r="U74" s="11" t="str">
        <x:v>外部配件</x:v>
      </x:c>
      <x:c r="V74" s="11" t="str">
        <x:v>HOLD</x:v>
      </x:c>
    </x:row>
    <x:row r="75" ht="64" customHeight="1">
      <x:c r="A75" s="11" t="str">
        <x:v>B-071</x:v>
      </x:c>
      <x:c r="B75" s="11" t="str">
        <x:v>2层SHT45小板</x:v>
      </x:c>
      <x:c r="C75" s="11" t="str">
        <x:v>20×20mm 2L候选</x:v>
      </x:c>
      <x:c r="D75" s="11" t="str">
        <x:v>UNKNOWN_VERIFY</x:v>
      </x:c>
      <x:c r="E75" s="13" t="n">
        <x:v>0</x:v>
      </x:c>
      <x:c r="F75" s="14" t="n">
        <x:v>0.1</x:v>
      </x:c>
      <x:c r="G75" s="13" t="n">
        <x:f>ROUNDUP(E75*(1+F75),0)</x:f>
        <x:v>0</x:v>
      </x:c>
      <x:c r="H75" s="11" t="str"/>
      <x:c r="I75" s="11" t="str">
        <x:v>PCB; Pin1/EP原生库待核</x:v>
      </x:c>
      <x:c r="J75" s="11" t="str">
        <x:v>远离功率阵列</x:v>
      </x:c>
      <x:c r="K75" s="11" t="str">
        <x:v>UNKNOWN</x:v>
      </x:c>
      <x:c r="L75" s="11" t="str">
        <x:v>外部独立电源 / 线束</x:v>
      </x:c>
      <x:c r="M75" s="11" t="str">
        <x:v>https://jlcpcb.com</x:v>
      </x:c>
      <x:c r="N75" s="11" t="str">
        <x:v>授权渠道待选；不默认替代</x:v>
      </x:c>
      <x:c r="O75" s="11" t="str">
        <x:v>UNKNOWN_VERIFY</x:v>
      </x:c>
      <x:c r="P75" s="11" t="str">
        <x:v>2026-10-11</x:v>
      </x:c>
      <x:c r="Q75" s="11" t="str">
        <x:v>INHERITED_CANDIDATE_REQUIRES_NATIVE_PIN_REVIEW</x:v>
      </x:c>
      <x:c r="R75" s="11" t="str">
        <x:v>User v5 scope; no procurement permission</x:v>
      </x:c>
      <x:c r="S75" s="11" t="str">
        <x:v>Inherited candidate quantity; netlist/thermal review pending</x:v>
      </x:c>
      <x:c r="T75" s="11" t="str">
        <x:v>UNKNOWN</x:v>
      </x:c>
      <x:c r="U75" s="11" t="str">
        <x:v>外部配件</x:v>
      </x:c>
      <x:c r="V75" s="11" t="str">
        <x:v>HOLD</x:v>
      </x:c>
    </x:row>
    <x:row r="76" ht="64" customHeight="1">
      <x:c r="A76" s="11" t="str">
        <x:v>B-072</x:v>
      </x:c>
      <x:c r="B76" s="11" t="str">
        <x:v>对置阵列固定件</x:v>
      </x:c>
      <x:c r="C76" s="11" t="str">
        <x:v>M3非磁性螺钉/尼龙柱/滑轨</x:v>
      </x:c>
      <x:c r="D76" s="11" t="str">
        <x:v>UNKNOWN_VERIFY</x:v>
      </x:c>
      <x:c r="E76" s="13" t="n">
        <x:v>1</x:v>
      </x:c>
      <x:c r="F76" s="14" t="n">
        <x:v>0.1</x:v>
      </x:c>
      <x:c r="G76" s="13" t="n">
        <x:f>ROUNDUP(E76*(1+F76),0)</x:f>
        <x:v>2</x:v>
      </x:c>
      <x:c r="H76" s="11" t="str">
        <x:v>EX_B072_001</x:v>
      </x:c>
      <x:c r="I76" s="11" t="str">
        <x:v>机械; Pin1/EP原生库待核</x:v>
      </x:c>
      <x:c r="J76" s="11" t="str">
        <x:v>上下间距90-115mm可调，名义100mm</x:v>
      </x:c>
      <x:c r="K76" s="11" t="str">
        <x:v>UNKNOWN</x:v>
      </x:c>
      <x:c r="L76" s="11" t="str">
        <x:v>外部独立电源 / 线束</x:v>
      </x:c>
      <x:c r="M76" s="11" t="str">
        <x:v>https://github.com/loverlike1216/SonoField-FPGA/tree/main/v5</x:v>
      </x:c>
      <x:c r="N76" s="11" t="str">
        <x:v>授权渠道待选；不默认替代</x:v>
      </x:c>
      <x:c r="O76" s="11" t="str">
        <x:v>UNKNOWN_VERIFY</x:v>
      </x:c>
      <x:c r="P76" s="11" t="str">
        <x:v>2026-10-11</x:v>
      </x:c>
      <x:c r="Q76" s="11" t="str">
        <x:v>INHERITED_CANDIDATE_REQUIRES_NATIVE_PIN_REVIEW</x:v>
      </x:c>
      <x:c r="R76" s="11" t="str">
        <x:v>User v5 scope; no procurement permission</x:v>
      </x:c>
      <x:c r="S76" s="11" t="str">
        <x:v>Inherited candidate quantity; netlist/thermal review pending</x:v>
      </x:c>
      <x:c r="T76" s="11" t="str">
        <x:v>UNKNOWN</x:v>
      </x:c>
      <x:c r="U76" s="11" t="str">
        <x:v>外部配件</x:v>
      </x:c>
      <x:c r="V76" s="11" t="str">
        <x:v>HOLD</x:v>
      </x:c>
    </x:row>
    <x:row r="77" ht="64" customHeight="1">
      <x:c r="A77" s="11" t="str">
        <x:v>PC-001</x:v>
      </x:c>
      <x:c r="B77" s="11" t="str">
        <x:v>Remote I2C hot-swap isolation</x:v>
      </x:c>
      <x:c r="C77" s="11" t="str">
        <x:v>TCA4307DGKR</x:v>
      </x:c>
      <x:c r="D77" s="11" t="str">
        <x:v>UNKNOWN_VERIFY</x:v>
      </x:c>
      <x:c r="E77" s="13" t="n">
        <x:v>0</x:v>
      </x:c>
      <x:c r="F77" s="14" t="n">
        <x:v>0.1</x:v>
      </x:c>
      <x:c r="G77" s="13" t="n">
        <x:f>ROUNDUP(E77*(1+F77),0)</x:f>
        <x:v>0</x:v>
      </x:c>
      <x:c r="H77" s="11" t="str"/>
      <x:c r="I77" s="11" t="str">
        <x:v>VSSOP-8; Pin1/EP原生库待核</x:v>
      </x:c>
      <x:c r="J77" s="11" t="str">
        <x:v>CANDIDATE_REVIEW_REQUIRED</x:v>
      </x:c>
      <x:c r="K77" s="11" t="str">
        <x:v>UNKNOWN</x:v>
      </x:c>
      <x:c r="L77" s="11" t="str">
        <x:v>外部独立电源 / 线束</x:v>
      </x:c>
      <x:c r="M77" s="11" t="str">
        <x:v>https://www.ti.com/product/TCA4307</x:v>
      </x:c>
      <x:c r="N77" s="11" t="str">
        <x:v>授权渠道待选；不默认替代</x:v>
      </x:c>
      <x:c r="O77" s="11" t="str">
        <x:v>UNKNOWN_VERIFY</x:v>
      </x:c>
      <x:c r="P77" s="11" t="str">
        <x:v>2026-10-11</x:v>
      </x:c>
      <x:c r="Q77" s="11" t="str">
        <x:v>INHERITED_CANDIDATE_REQUIRES_NATIVE_PIN_REVIEW</x:v>
      </x:c>
      <x:c r="R77" s="11" t="str">
        <x:v>User v5 scope; no procurement permission</x:v>
      </x:c>
      <x:c r="S77" s="11" t="str">
        <x:v>Electrical/thermal qualification HOLD</x:v>
      </x:c>
      <x:c r="T77" s="11" t="str">
        <x:v>UNKNOWN</x:v>
      </x:c>
      <x:c r="U77" s="11" t="str">
        <x:v>外部配件</x:v>
      </x:c>
      <x:c r="V77" s="11" t="str">
        <x:v>HOLD</x:v>
      </x:c>
    </x:row>
    <x:row r="78" ht="64" customHeight="1">
      <x:c r="A78" s="11" t="str">
        <x:v>PC-002</x:v>
      </x:c>
      <x:c r="B78" s="11" t="str">
        <x:v>Driver hotspot independent comparator</x:v>
      </x:c>
      <x:c r="C78" s="11" t="str">
        <x:v>PART_SELECTION_HOLD</x:v>
      </x:c>
      <x:c r="D78" s="11" t="str">
        <x:v>UNKNOWN_VERIFY</x:v>
      </x:c>
      <x:c r="E78" s="13" t="n">
        <x:v>0</x:v>
      </x:c>
      <x:c r="F78" s="14" t="n">
        <x:v>0.1</x:v>
      </x:c>
      <x:c r="G78" s="13" t="n">
        <x:f>ROUNDUP(E78*(1+F78),0)</x:f>
        <x:v>0</x:v>
      </x:c>
      <x:c r="H78" s="11" t="str"/>
      <x:c r="I78" s="11" t="str">
        <x:v>HOLD; Pin1/EP原生库待核</x:v>
      </x:c>
      <x:c r="J78" s="11" t="str">
        <x:v>CANDIDATE_REVIEW_REQUIRED</x:v>
      </x:c>
      <x:c r="K78" s="11" t="str">
        <x:v>UNKNOWN</x:v>
      </x:c>
      <x:c r="L78" s="11" t="str">
        <x:v>外部独立电源 / 线束</x:v>
      </x:c>
      <x:c r="M78" s="11" t="str">
        <x:v>USER_SAFETY_REQUIREMENT</x:v>
      </x:c>
      <x:c r="N78" s="11" t="str">
        <x:v>授权渠道待选；不默认替代</x:v>
      </x:c>
      <x:c r="O78" s="11" t="str">
        <x:v>UNKNOWN_VERIFY</x:v>
      </x:c>
      <x:c r="P78" s="11" t="str">
        <x:v>2026-10-11</x:v>
      </x:c>
      <x:c r="Q78" s="11" t="str">
        <x:v>INHERITED_CANDIDATE_REQUIRES_NATIVE_PIN_REVIEW</x:v>
      </x:c>
      <x:c r="R78" s="11" t="str">
        <x:v>User v5 scope; no procurement permission</x:v>
      </x:c>
      <x:c r="S78" s="11" t="str">
        <x:v>SUPERSEDED_OR_OPTIONAL_DNP: see new H entries; not installed twice</x:v>
      </x:c>
      <x:c r="T78" s="11" t="str">
        <x:v>UNKNOWN</x:v>
      </x:c>
      <x:c r="U78" s="11" t="str">
        <x:v>外部配件</x:v>
      </x:c>
      <x:c r="V78" s="11" t="str">
        <x:v>HOLD</x:v>
      </x:c>
    </x:row>
    <x:row r="79" ht="64" customHeight="1">
      <x:c r="A79" s="11" t="str">
        <x:v>PC-003</x:v>
      </x:c>
      <x:c r="B79" s="11" t="str">
        <x:v>Central header reverse-blocking protection</x:v>
      </x:c>
      <x:c r="C79" s="11" t="str">
        <x:v>PART_SELECTION_HOLD</x:v>
      </x:c>
      <x:c r="D79" s="11" t="str">
        <x:v>UNKNOWN_VERIFY</x:v>
      </x:c>
      <x:c r="E79" s="13" t="n">
        <x:v>0</x:v>
      </x:c>
      <x:c r="F79" s="14" t="n">
        <x:v>0.1</x:v>
      </x:c>
      <x:c r="G79" s="13" t="n">
        <x:f>ROUNDUP(E79*(1+F79),0)</x:f>
        <x:v>0</x:v>
      </x:c>
      <x:c r="H79" s="11" t="str"/>
      <x:c r="I79" s="11" t="str">
        <x:v>HOLD; Pin1/EP原生库待核</x:v>
      </x:c>
      <x:c r="J79" s="11" t="str">
        <x:v>CANDIDATE_REVIEW_REQUIRED</x:v>
      </x:c>
      <x:c r="K79" s="11" t="str">
        <x:v>UNKNOWN</x:v>
      </x:c>
      <x:c r="L79" s="11" t="str">
        <x:v>外部独立电源 / 线束</x:v>
      </x:c>
      <x:c r="M79" s="11" t="str">
        <x:v>USER_AX7020_POWER_ONLY_REQUIREMENT</x:v>
      </x:c>
      <x:c r="N79" s="11" t="str">
        <x:v>授权渠道待选；不默认替代</x:v>
      </x:c>
      <x:c r="O79" s="11" t="str">
        <x:v>UNKNOWN_VERIFY</x:v>
      </x:c>
      <x:c r="P79" s="11" t="str">
        <x:v>2026-10-11</x:v>
      </x:c>
      <x:c r="Q79" s="11" t="str">
        <x:v>INHERITED_CANDIDATE_REQUIRES_NATIVE_PIN_REVIEW</x:v>
      </x:c>
      <x:c r="R79" s="11" t="str">
        <x:v>User v5 scope; no procurement permission</x:v>
      </x:c>
      <x:c r="S79" s="11" t="str">
        <x:v>SUPERSEDED_OR_OPTIONAL_DNP: see new H entries; not installed twice</x:v>
      </x:c>
      <x:c r="T79" s="11" t="str">
        <x:v>UNKNOWN</x:v>
      </x:c>
      <x:c r="U79" s="11" t="str">
        <x:v>外部配件</x:v>
      </x:c>
      <x:c r="V79" s="11" t="str">
        <x:v>HOLD</x:v>
      </x:c>
    </x:row>
    <x:row r="80" ht="64" customHeight="1">
      <x:c r="A80" s="11" t="str">
        <x:v>PC-004</x:v>
      </x:c>
      <x:c r="B80" s="11" t="str">
        <x:v>NC emergency stop independent contact</x:v>
      </x:c>
      <x:c r="C80" s="11" t="str">
        <x:v>PART_SELECTION_HOLD</x:v>
      </x:c>
      <x:c r="D80" s="11" t="str">
        <x:v>UNKNOWN_VERIFY</x:v>
      </x:c>
      <x:c r="E80" s="13" t="n">
        <x:v>0</x:v>
      </x:c>
      <x:c r="F80" s="14" t="n">
        <x:v>0.1</x:v>
      </x:c>
      <x:c r="G80" s="13" t="n">
        <x:f>ROUNDUP(E80*(1+F80),0)</x:f>
        <x:v>0</x:v>
      </x:c>
      <x:c r="H80" s="11" t="str"/>
      <x:c r="I80" s="11" t="str">
        <x:v>HOLD; Pin1/EP原生库待核</x:v>
      </x:c>
      <x:c r="J80" s="11" t="str">
        <x:v>CANDIDATE_REVIEW_REQUIRED</x:v>
      </x:c>
      <x:c r="K80" s="11" t="str">
        <x:v>UNKNOWN</x:v>
      </x:c>
      <x:c r="L80" s="11" t="str">
        <x:v>外部独立电源 / 线束</x:v>
      </x:c>
      <x:c r="M80" s="11" t="str">
        <x:v>USER_SAFETY_REQUIREMENT</x:v>
      </x:c>
      <x:c r="N80" s="11" t="str">
        <x:v>授权渠道待选；不默认替代</x:v>
      </x:c>
      <x:c r="O80" s="11" t="str">
        <x:v>UNKNOWN_VERIFY</x:v>
      </x:c>
      <x:c r="P80" s="11" t="str">
        <x:v>2026-10-11</x:v>
      </x:c>
      <x:c r="Q80" s="11" t="str">
        <x:v>INHERITED_CANDIDATE_REQUIRES_NATIVE_PIN_REVIEW</x:v>
      </x:c>
      <x:c r="R80" s="11" t="str">
        <x:v>User v5 scope; no procurement permission</x:v>
      </x:c>
      <x:c r="S80" s="11" t="str">
        <x:v>SUPERSEDED_OR_OPTIONAL_DNP: see new H entries; not installed twice</x:v>
      </x:c>
      <x:c r="T80" s="11" t="str">
        <x:v>UNKNOWN</x:v>
      </x:c>
      <x:c r="U80" s="11" t="str">
        <x:v>外部配件</x:v>
      </x:c>
      <x:c r="V80" s="11" t="str">
        <x:v>HOLD</x:v>
      </x:c>
    </x:row>
    <x:row r="81" ht="64" customHeight="1">
      <x:c r="A81" s="11" t="str">
        <x:v>NS-001</x:v>
      </x:c>
      <x:c r="B81" s="11" t="str">
        <x:v>Independent NC estop safety loop connector</x:v>
      </x:c>
      <x:c r="C81" s="11" t="str">
        <x:v>PART_SELECTION_HOLD</x:v>
      </x:c>
      <x:c r="D81" s="11" t="str">
        <x:v>UNKNOWN_VERIFY</x:v>
      </x:c>
      <x:c r="E81" s="13" t="n">
        <x:v>0</x:v>
      </x:c>
      <x:c r="F81" s="14" t="n">
        <x:v>0.1</x:v>
      </x:c>
      <x:c r="G81" s="13" t="n">
        <x:f>ROUNDUP(E81*(1+F81),0)</x:f>
        <x:v>0</x:v>
      </x:c>
      <x:c r="H81" s="11" t="str"/>
      <x:c r="I81" s="11" t="str">
        <x:v>UNKNOWN; Pin1/EP原生库待核</x:v>
      </x:c>
      <x:c r="J81" s="11" t="str">
        <x:v>LOGIC/12V_DOMAIN_REVIEW</x:v>
      </x:c>
      <x:c r="K81" s="11" t="str">
        <x:v>UNKNOWN</x:v>
      </x:c>
      <x:c r="L81" s="11" t="str">
        <x:v>外部独立电源 / 线束</x:v>
      </x:c>
      <x:c r="M81" s="11" t="str">
        <x:v>Current user GateC3/D1</x:v>
      </x:c>
      <x:c r="N81" s="11" t="str">
        <x:v>授权渠道待选；不默认替代</x:v>
      </x:c>
      <x:c r="O81" s="11" t="str">
        <x:v>UNKNOWN_VERIFY</x:v>
      </x:c>
      <x:c r="P81" s="11" t="str">
        <x:v>2026-10-11</x:v>
      </x:c>
      <x:c r="Q81" s="11" t="str">
        <x:v>INHERITED_CANDIDATE_REQUIRES_NATIVE_PIN_REVIEW</x:v>
      </x:c>
      <x:c r="R81" s="11" t="str">
        <x:v>User v5 scope; no procurement permission</x:v>
      </x:c>
      <x:c r="S81" s="11" t="str">
        <x:v>Power-loss/cable/unpowered/clock-stop physical injection required</x:v>
      </x:c>
      <x:c r="T81" s="11" t="str">
        <x:v>UNKNOWN</x:v>
      </x:c>
      <x:c r="U81" s="11" t="str">
        <x:v>外部配件</x:v>
      </x:c>
      <x:c r="V81" s="11" t="str">
        <x:v>HOLD</x:v>
      </x:c>
    </x:row>
    <x:row r="82" ht="64" customHeight="1">
      <x:c r="A82" s="11" t="str">
        <x:v>NS-002</x:v>
      </x:c>
      <x:c r="B82" s="11" t="str">
        <x:v>Independent thermal comparator and threshold network</x:v>
      </x:c>
      <x:c r="C82" s="11" t="str">
        <x:v>PART_SELECTION_HOLD</x:v>
      </x:c>
      <x:c r="D82" s="11" t="str">
        <x:v>UNKNOWN_VERIFY</x:v>
      </x:c>
      <x:c r="E82" s="13" t="n">
        <x:v>0</x:v>
      </x:c>
      <x:c r="F82" s="14" t="n">
        <x:v>0.1</x:v>
      </x:c>
      <x:c r="G82" s="13" t="n">
        <x:f>ROUNDUP(E82*(1+F82),0)</x:f>
        <x:v>0</x:v>
      </x:c>
      <x:c r="H82" s="11" t="str"/>
      <x:c r="I82" s="11" t="str">
        <x:v>UNKNOWN; Pin1/EP原生库待核</x:v>
      </x:c>
      <x:c r="J82" s="11" t="str">
        <x:v>LOGIC/12V_DOMAIN_REVIEW</x:v>
      </x:c>
      <x:c r="K82" s="11" t="str">
        <x:v>UNKNOWN</x:v>
      </x:c>
      <x:c r="L82" s="11" t="str">
        <x:v>外部独立电源 / 线束</x:v>
      </x:c>
      <x:c r="M82" s="11" t="str">
        <x:v>Current user GateC3/D1</x:v>
      </x:c>
      <x:c r="N82" s="11" t="str">
        <x:v>授权渠道待选；不默认替代</x:v>
      </x:c>
      <x:c r="O82" s="11" t="str">
        <x:v>UNKNOWN_VERIFY</x:v>
      </x:c>
      <x:c r="P82" s="11" t="str">
        <x:v>2026-10-11</x:v>
      </x:c>
      <x:c r="Q82" s="11" t="str">
        <x:v>INHERITED_CANDIDATE_REQUIRES_NATIVE_PIN_REVIEW</x:v>
      </x:c>
      <x:c r="R82" s="11" t="str">
        <x:v>User v5 scope; no procurement permission</x:v>
      </x:c>
      <x:c r="S82" s="11" t="str">
        <x:v>SUPERSEDED_OR_OPTIONAL_DNP: see new H entries; not installed twice</x:v>
      </x:c>
      <x:c r="T82" s="11" t="str">
        <x:v>UNKNOWN</x:v>
      </x:c>
      <x:c r="U82" s="11" t="str">
        <x:v>外部配件</x:v>
      </x:c>
      <x:c r="V82" s="11" t="str">
        <x:v>HOLD</x:v>
      </x:c>
    </x:row>
    <x:row r="83" ht="64" customHeight="1">
      <x:c r="A83" s="11" t="str">
        <x:v>NS-003</x:v>
      </x:c>
      <x:c r="B83" s="11" t="str">
        <x:v>Cold-start/rearm latch and power-good AND cutoff controller</x:v>
      </x:c>
      <x:c r="C83" s="11" t="str">
        <x:v>PART_SELECTION_HOLD</x:v>
      </x:c>
      <x:c r="D83" s="11" t="str">
        <x:v>UNKNOWN_VERIFY</x:v>
      </x:c>
      <x:c r="E83" s="13" t="n">
        <x:v>0</x:v>
      </x:c>
      <x:c r="F83" s="14" t="n">
        <x:v>0.1</x:v>
      </x:c>
      <x:c r="G83" s="13" t="n">
        <x:f>ROUNDUP(E83*(1+F83),0)</x:f>
        <x:v>0</x:v>
      </x:c>
      <x:c r="H83" s="11" t="str"/>
      <x:c r="I83" s="11" t="str">
        <x:v>UNKNOWN; Pin1/EP原生库待核</x:v>
      </x:c>
      <x:c r="J83" s="11" t="str">
        <x:v>LOGIC/12V_DOMAIN_REVIEW</x:v>
      </x:c>
      <x:c r="K83" s="11" t="str">
        <x:v>UNKNOWN</x:v>
      </x:c>
      <x:c r="L83" s="11" t="str">
        <x:v>外部独立电源 / 线束</x:v>
      </x:c>
      <x:c r="M83" s="11" t="str">
        <x:v>Current user GateC3/D1</x:v>
      </x:c>
      <x:c r="N83" s="11" t="str">
        <x:v>授权渠道待选；不默认替代</x:v>
      </x:c>
      <x:c r="O83" s="11" t="str">
        <x:v>UNKNOWN_VERIFY</x:v>
      </x:c>
      <x:c r="P83" s="11" t="str">
        <x:v>2026-10-11</x:v>
      </x:c>
      <x:c r="Q83" s="11" t="str">
        <x:v>INHERITED_CANDIDATE_REQUIRES_NATIVE_PIN_REVIEW</x:v>
      </x:c>
      <x:c r="R83" s="11" t="str">
        <x:v>User v5 scope; no procurement permission</x:v>
      </x:c>
      <x:c r="S83" s="11" t="str">
        <x:v>SUPERSEDED_OR_OPTIONAL_DNP: see new H entries; not installed twice</x:v>
      </x:c>
      <x:c r="T83" s="11" t="str">
        <x:v>UNKNOWN</x:v>
      </x:c>
      <x:c r="U83" s="11" t="str">
        <x:v>外部配件</x:v>
      </x:c>
      <x:c r="V83" s="11" t="str">
        <x:v>HOLD</x:v>
      </x:c>
    </x:row>
    <x:row r="84" ht="64" customHeight="1">
      <x:c r="A84" s="11" t="str">
        <x:v>NS-004</x:v>
      </x:c>
      <x:c r="B84" s="11" t="str">
        <x:v>Driver rail discharge/bleed and reset default-off network</x:v>
      </x:c>
      <x:c r="C84" s="11" t="str">
        <x:v>PART_SELECTION_HOLD</x:v>
      </x:c>
      <x:c r="D84" s="11" t="str">
        <x:v>UNKNOWN_VERIFY</x:v>
      </x:c>
      <x:c r="E84" s="13" t="n">
        <x:v>0</x:v>
      </x:c>
      <x:c r="F84" s="14" t="n">
        <x:v>0.1</x:v>
      </x:c>
      <x:c r="G84" s="13" t="n">
        <x:f>ROUNDUP(E84*(1+F84),0)</x:f>
        <x:v>0</x:v>
      </x:c>
      <x:c r="H84" s="11" t="str"/>
      <x:c r="I84" s="11" t="str">
        <x:v>UNKNOWN; Pin1/EP原生库待核</x:v>
      </x:c>
      <x:c r="J84" s="11" t="str">
        <x:v>LOGIC/12V_DOMAIN_REVIEW</x:v>
      </x:c>
      <x:c r="K84" s="11" t="str">
        <x:v>UNKNOWN</x:v>
      </x:c>
      <x:c r="L84" s="11" t="str">
        <x:v>外部独立电源 / 线束</x:v>
      </x:c>
      <x:c r="M84" s="11" t="str">
        <x:v>Current user GateC3/D1</x:v>
      </x:c>
      <x:c r="N84" s="11" t="str">
        <x:v>授权渠道待选；不默认替代</x:v>
      </x:c>
      <x:c r="O84" s="11" t="str">
        <x:v>UNKNOWN_VERIFY</x:v>
      </x:c>
      <x:c r="P84" s="11" t="str">
        <x:v>2026-10-11</x:v>
      </x:c>
      <x:c r="Q84" s="11" t="str">
        <x:v>INHERITED_CANDIDATE_REQUIRES_NATIVE_PIN_REVIEW</x:v>
      </x:c>
      <x:c r="R84" s="11" t="str">
        <x:v>User v5 scope; no procurement permission</x:v>
      </x:c>
      <x:c r="S84" s="11" t="str">
        <x:v>Power-loss/cable/unpowered/clock-stop physical injection required</x:v>
      </x:c>
      <x:c r="T84" s="11" t="str">
        <x:v>UNKNOWN</x:v>
      </x:c>
      <x:c r="U84" s="11" t="str">
        <x:v>外部配件</x:v>
      </x:c>
      <x:c r="V84" s="11" t="str">
        <x:v>HOLD</x:v>
      </x:c>
    </x:row>
    <x:row r="85" ht="64" customHeight="1">
      <x:c r="A85" s="11" t="str">
        <x:v>H-001</x:v>
      </x:c>
      <x:c r="B85" s="11" t="str">
        <x:v>中央 Type-C 5V Sink</x:v>
      </x:c>
      <x:c r="C85" s="11" t="str">
        <x:v>STUSB4500LQTR</x:v>
      </x:c>
      <x:c r="D85" s="11" t="str">
        <x:v>STMicroelectronics</x:v>
      </x:c>
      <x:c r="E85" s="13" t="n">
        <x:v>0</x:v>
      </x:c>
      <x:c r="F85" s="14" t="n">
        <x:v>0.1</x:v>
      </x:c>
      <x:c r="G85" s="13" t="n">
        <x:f>ROUNDUP(E85*(1+F85),0)</x:f>
        <x:v>0</x:v>
      </x:c>
      <x:c r="H85" s="11" t="str"/>
      <x:c r="I85" s="11" t="str">
        <x:v>QFN24_EP_VERIFY; Pin1/EP原生库待核</x:v>
      </x:c>
      <x:c r="J85" s="11" t="str">
        <x:v>SEE_POWER_DOMAIN_CONTRACT</x:v>
      </x:c>
      <x:c r="K85" s="11" t="str">
        <x:v>UNKNOWN</x:v>
      </x:c>
      <x:c r="L85" s="11" t="str">
        <x:v>外部独立电源 / 线束</x:v>
      </x:c>
      <x:c r="M85" s="11" t="str">
        <x:v>https://www.st.com/resource/en/datasheet/stusb4500l.pdf</x:v>
      </x:c>
      <x:c r="N85" s="11" t="str">
        <x:v>授权渠道待选；不默认替代</x:v>
      </x:c>
      <x:c r="O85" s="11" t="str">
        <x:v>SEE_SOURCE_REGISTER</x:v>
      </x:c>
      <x:c r="P85" s="11" t="str">
        <x:v>2026-10-11</x:v>
      </x:c>
      <x:c r="Q85" s="11" t="str">
        <x:v>CANDIDATE</x:v>
      </x:c>
      <x:c r="R85" s="11" t="str">
        <x:v>User hardware design direction, electrical release pending</x:v>
      </x:c>
      <x:c r="S85" s="11" t="str">
        <x:v>CC default/1.5A/3A detection and load inhibit required</x:v>
      </x:c>
      <x:c r="T85" s="11" t="str">
        <x:v>UNKNOWN</x:v>
      </x:c>
      <x:c r="U85" s="11" t="str">
        <x:v>外部配件</x:v>
      </x:c>
      <x:c r="V85" s="11" t="str">
        <x:v>HOLD</x:v>
      </x:c>
    </x:row>
    <x:row r="86" ht="64" customHeight="1">
      <x:c r="A86" s="11" t="str">
        <x:v>H-002</x:v>
      </x:c>
      <x:c r="B86" s="11" t="str">
        <x:v>中央 Type-C 电源插座</x:v>
      </x:c>
      <x:c r="C86" s="11" t="str">
        <x:v>TYPE_C_RECEPTACLE_MPN_TBD</x:v>
      </x:c>
      <x:c r="D86" s="11" t="str">
        <x:v>UNKNOWN_VERIFY</x:v>
      </x:c>
      <x:c r="E86" s="13" t="n">
        <x:v>0</x:v>
      </x:c>
      <x:c r="F86" s="14" t="n">
        <x:v>0.1</x:v>
      </x:c>
      <x:c r="G86" s="13" t="n">
        <x:f>ROUNDUP(E86*(1+F86),0)</x:f>
        <x:v>0</x:v>
      </x:c>
      <x:c r="H86" s="11" t="str"/>
      <x:c r="I86" s="11" t="str">
        <x:v>NATIVE_FOOTPRINT_TBD; Pin1/EP原生库待核</x:v>
      </x:c>
      <x:c r="J86" s="11" t="str">
        <x:v>SEE_POWER_DOMAIN_CONTRACT</x:v>
      </x:c>
      <x:c r="K86" s="11" t="str">
        <x:v>UNKNOWN</x:v>
      </x:c>
      <x:c r="L86" s="11" t="str">
        <x:v>外部独立电源 / 线束</x:v>
      </x:c>
      <x:c r="M86" s="11" t="str">
        <x:v>CANDIDATE</x:v>
      </x:c>
      <x:c r="N86" s="11" t="str">
        <x:v>授权渠道待选；不默认替代</x:v>
      </x:c>
      <x:c r="O86" s="11" t="str">
        <x:v>SEE_SOURCE_REGISTER</x:v>
      </x:c>
      <x:c r="P86" s="11" t="str">
        <x:v>2026-10-11</x:v>
      </x:c>
      <x:c r="Q86" s="11" t="str">
        <x:v>CANDIDATE</x:v>
      </x:c>
      <x:c r="R86" s="11" t="str">
        <x:v>User hardware design direction, electrical release pending</x:v>
      </x:c>
      <x:c r="S86" s="11" t="str">
        <x:v>Pin/native library/electrical review required</x:v>
      </x:c>
      <x:c r="T86" s="11" t="str">
        <x:v>UNKNOWN</x:v>
      </x:c>
      <x:c r="U86" s="11" t="str">
        <x:v>外部配件</x:v>
      </x:c>
      <x:c r="V86" s="11" t="str">
        <x:v>HOLD</x:v>
      </x:c>
    </x:row>
    <x:row r="87" ht="64" customHeight="1">
      <x:c r="A87" s="11" t="str">
        <x:v>H-003</x:v>
      </x:c>
      <x:c r="B87" s="11" t="str">
        <x:v>阵列 DC5.5x2.5 插座</x:v>
      </x:c>
      <x:c r="C87" s="11" t="str">
        <x:v>PJ-002BH</x:v>
      </x:c>
      <x:c r="D87" s="11" t="str">
        <x:v>Same Sky</x:v>
      </x:c>
      <x:c r="E87" s="13" t="n">
        <x:v>0</x:v>
      </x:c>
      <x:c r="F87" s="14" t="n">
        <x:v>0.1</x:v>
      </x:c>
      <x:c r="G87" s="13" t="n">
        <x:f>ROUNDUP(E87*(1+F87),0)</x:f>
        <x:v>0</x:v>
      </x:c>
      <x:c r="H87" s="11" t="str"/>
      <x:c r="I87" s="11" t="str">
        <x:v>THT3_SWITCH_CONTACT; Pin1/EP原生库待核</x:v>
      </x:c>
      <x:c r="J87" s="11" t="str">
        <x:v>SEE_POWER_DOMAIN_CONTRACT</x:v>
      </x:c>
      <x:c r="K87" s="11" t="str">
        <x:v>UNKNOWN</x:v>
      </x:c>
      <x:c r="L87" s="11" t="str">
        <x:v>外部独立电源 / 线束</x:v>
      </x:c>
      <x:c r="M87" s="11" t="str">
        <x:v>https://www.sameskydevices.com/product/resource/pj-002bh.pdf</x:v>
      </x:c>
      <x:c r="N87" s="11" t="str">
        <x:v>授权渠道待选；不默认替代</x:v>
      </x:c>
      <x:c r="O87" s="11" t="str">
        <x:v>SEE_SOURCE_REGISTER</x:v>
      </x:c>
      <x:c r="P87" s="11" t="str">
        <x:v>2026-10-11</x:v>
      </x:c>
      <x:c r="Q87" s="11" t="str">
        <x:v>CANDIDATE</x:v>
      </x:c>
      <x:c r="R87" s="11" t="str">
        <x:v>User hardware design direction, electrical release pending</x:v>
      </x:c>
      <x:c r="S87" s="11" t="str">
        <x:v>5A nominal/30mohm; switch lug not independent source; temperature derating HOLD</x:v>
      </x:c>
      <x:c r="T87" s="11" t="str">
        <x:v>UNKNOWN</x:v>
      </x:c>
      <x:c r="U87" s="11" t="str">
        <x:v>外部配件</x:v>
      </x:c>
      <x:c r="V87" s="11" t="str">
        <x:v>HOLD</x:v>
      </x:c>
    </x:row>
    <x:row r="88" ht="64" customHeight="1">
      <x:c r="A88" s="11" t="str">
        <x:v>H-004</x:v>
      </x:c>
      <x:c r="B88" s="11" t="str">
        <x:v>阵列 eFuse</x:v>
      </x:c>
      <x:c r="C88" s="11" t="str">
        <x:v>TPS26631RGER</x:v>
      </x:c>
      <x:c r="D88" s="11" t="str">
        <x:v>Texas Instruments</x:v>
      </x:c>
      <x:c r="E88" s="13" t="n">
        <x:v>0</x:v>
      </x:c>
      <x:c r="F88" s="14" t="n">
        <x:v>0.1</x:v>
      </x:c>
      <x:c r="G88" s="13" t="n">
        <x:f>ROUNDUP(E88*(1+F88),0)</x:f>
        <x:v>0</x:v>
      </x:c>
      <x:c r="H88" s="11" t="str"/>
      <x:c r="I88" s="11" t="str">
        <x:v>VQFN24_RGE_EP; Pin1/EP原生库待核</x:v>
      </x:c>
      <x:c r="J88" s="11" t="str">
        <x:v>SEE_POWER_DOMAIN_CONTRACT</x:v>
      </x:c>
      <x:c r="K88" s="11" t="str">
        <x:v>UNKNOWN</x:v>
      </x:c>
      <x:c r="L88" s="11" t="str">
        <x:v>外部独立电源 / 线束</x:v>
      </x:c>
      <x:c r="M88" s="11" t="str">
        <x:v>https://www.ti.com/lit/ds/symlink/tps2663.pdf</x:v>
      </x:c>
      <x:c r="N88" s="11" t="str">
        <x:v>授权渠道待选；不默认替代</x:v>
      </x:c>
      <x:c r="O88" s="11" t="str">
        <x:v>SEE_SOURCE_REGISTER</x:v>
      </x:c>
      <x:c r="P88" s="11" t="str">
        <x:v>2026-10-11</x:v>
      </x:c>
      <x:c r="Q88" s="11" t="str">
        <x:v>CANDIDATE</x:v>
      </x:c>
      <x:c r="R88" s="11" t="str">
        <x:v>User hardware design direction, electrical release pending</x:v>
      </x:c>
      <x:c r="S88" s="11" t="str">
        <x:v>2x pulse support; RILIM/UVLO/OVP/fuse coordination HOLD, not automatic5A setting</x:v>
      </x:c>
      <x:c r="T88" s="11" t="str">
        <x:v>UNKNOWN</x:v>
      </x:c>
      <x:c r="U88" s="11" t="str">
        <x:v>外部配件</x:v>
      </x:c>
      <x:c r="V88" s="11" t="str">
        <x:v>HOLD</x:v>
      </x:c>
    </x:row>
    <x:row r="89" ht="64" customHeight="1">
      <x:c r="A89" s="11" t="str">
        <x:v>H-005</x:v>
      </x:c>
      <x:c r="B89" s="11" t="str">
        <x:v>中央 I2C 3域选择</x:v>
      </x:c>
      <x:c r="C89" s="11" t="str">
        <x:v>TCA9548APWR</x:v>
      </x:c>
      <x:c r="D89" s="11" t="str">
        <x:v>Texas Instruments</x:v>
      </x:c>
      <x:c r="E89" s="13" t="n">
        <x:v>0</x:v>
      </x:c>
      <x:c r="F89" s="14" t="n">
        <x:v>0.1</x:v>
      </x:c>
      <x:c r="G89" s="13" t="n">
        <x:f>ROUNDUP(E89*(1+F89),0)</x:f>
        <x:v>0</x:v>
      </x:c>
      <x:c r="H89" s="11" t="str"/>
      <x:c r="I89" s="11" t="str">
        <x:v>TSSOP24_PW; Pin1/EP原生库待核</x:v>
      </x:c>
      <x:c r="J89" s="11" t="str">
        <x:v>SEE_POWER_DOMAIN_CONTRACT</x:v>
      </x:c>
      <x:c r="K89" s="11" t="str">
        <x:v>UNKNOWN</x:v>
      </x:c>
      <x:c r="L89" s="11" t="str">
        <x:v>外部独立电源 / 线束</x:v>
      </x:c>
      <x:c r="M89" s="11" t="str">
        <x:v>https://www.ti.com/lit/ds/symlink/tca9548a.pdf</x:v>
      </x:c>
      <x:c r="N89" s="11" t="str">
        <x:v>授权渠道待选；不默认替代</x:v>
      </x:c>
      <x:c r="O89" s="11" t="str">
        <x:v>SEE_SOURCE_REGISTER</x:v>
      </x:c>
      <x:c r="P89" s="11" t="str">
        <x:v>2026-10-11</x:v>
      </x:c>
      <x:c r="Q89" s="11" t="str">
        <x:v>CANDIDATE</x:v>
      </x:c>
      <x:c r="R89" s="11" t="str">
        <x:v>User hardware design direction, electrical release pending</x:v>
      </x:c>
      <x:c r="S89" s="11" t="str">
        <x:v>Independent RESET still required for selected stuck-low branch</x:v>
      </x:c>
      <x:c r="T89" s="11" t="str">
        <x:v>UNKNOWN</x:v>
      </x:c>
      <x:c r="U89" s="11" t="str">
        <x:v>外部配件</x:v>
      </x:c>
      <x:c r="V89" s="11" t="str">
        <x:v>HOLD</x:v>
      </x:c>
    </x:row>
    <x:row r="90" ht="64" customHeight="1">
      <x:c r="A90" s="11" t="str">
        <x:v>H-006</x:v>
      </x:c>
      <x:c r="B90" s="11" t="str">
        <x:v>已有B021覆盖三颗，无重复装配</x:v>
      </x:c>
      <x:c r="C90" s="11" t="str">
        <x:v>INA226AIDGSR</x:v>
      </x:c>
      <x:c r="D90" s="11" t="str">
        <x:v>Texas Instruments</x:v>
      </x:c>
      <x:c r="E90" s="13" t="n">
        <x:v>0</x:v>
      </x:c>
      <x:c r="F90" s="14" t="n">
        <x:v>0.1</x:v>
      </x:c>
      <x:c r="G90" s="13" t="n">
        <x:f>ROUNDUP(E90*(1+F90),0)</x:f>
        <x:v>0</x:v>
      </x:c>
      <x:c r="H90" s="11" t="str"/>
      <x:c r="I90" s="11" t="str">
        <x:v>VSSOP10_DGS; Pin1/EP原生库待核</x:v>
      </x:c>
      <x:c r="J90" s="11" t="str">
        <x:v>SEE_POWER_DOMAIN_CONTRACT</x:v>
      </x:c>
      <x:c r="K90" s="11" t="str">
        <x:v>UNKNOWN</x:v>
      </x:c>
      <x:c r="L90" s="11" t="str">
        <x:v>外部独立电源 / 线束</x:v>
      </x:c>
      <x:c r="M90" s="11" t="str">
        <x:v>https://www.ti.com/lit/ds/symlink/ina226.pdf</x:v>
      </x:c>
      <x:c r="N90" s="11" t="str">
        <x:v>授权渠道待选；不默认替代</x:v>
      </x:c>
      <x:c r="O90" s="11" t="str">
        <x:v>SEE_SOURCE_REGISTER</x:v>
      </x:c>
      <x:c r="P90" s="11" t="str">
        <x:v>2026-10-11</x:v>
      </x:c>
      <x:c r="Q90" s="11" t="str">
        <x:v>CANDIDATE</x:v>
      </x:c>
      <x:c r="R90" s="11" t="str">
        <x:v>User hardware design direction, electrical release pending</x:v>
      </x:c>
      <x:c r="S90" s="11" t="str">
        <x:v>Pin/native library/electrical review required</x:v>
      </x:c>
      <x:c r="T90" s="11" t="str">
        <x:v>UNKNOWN</x:v>
      </x:c>
      <x:c r="U90" s="11" t="str">
        <x:v>外部配件</x:v>
      </x:c>
      <x:c r="V90" s="11" t="str">
        <x:v>HOLD</x:v>
      </x:c>
    </x:row>
    <x:row r="91" ht="64" customHeight="1">
      <x:c r="A91" s="11" t="str">
        <x:v>H-007</x:v>
      </x:c>
      <x:c r="B91" s="11" t="str">
        <x:v>被拒绝的标准看门狗备选DNP</x:v>
      </x:c>
      <x:c r="C91" s="11" t="str">
        <x:v>TPS3431SDRBR</x:v>
      </x:c>
      <x:c r="D91" s="11" t="str">
        <x:v>Texas Instruments</x:v>
      </x:c>
      <x:c r="E91" s="13" t="n">
        <x:v>0</x:v>
      </x:c>
      <x:c r="F91" s="14" t="n">
        <x:v>0.1</x:v>
      </x:c>
      <x:c r="G91" s="13" t="n">
        <x:f>ROUNDUP(E91*(1+F91),0)</x:f>
        <x:v>0</x:v>
      </x:c>
      <x:c r="H91" s="11" t="str"/>
      <x:c r="I91" s="11" t="str">
        <x:v>VSON8_DRB_EP; Pin1/EP原生库待核</x:v>
      </x:c>
      <x:c r="J91" s="11" t="str">
        <x:v>SEE_POWER_DOMAIN_CONTRACT</x:v>
      </x:c>
      <x:c r="K91" s="11" t="str">
        <x:v>UNKNOWN</x:v>
      </x:c>
      <x:c r="L91" s="11" t="str">
        <x:v>外部独立电源 / 线束</x:v>
      </x:c>
      <x:c r="M91" s="11" t="str">
        <x:v>https://www.ti.com/lit/ds/symlink/tps3431.pdf</x:v>
      </x:c>
      <x:c r="N91" s="11" t="str">
        <x:v>授权渠道待选；不默认替代</x:v>
      </x:c>
      <x:c r="O91" s="11" t="str">
        <x:v>SEE_SOURCE_REGISTER</x:v>
      </x:c>
      <x:c r="P91" s="11" t="str">
        <x:v>2026-10-11</x:v>
      </x:c>
      <x:c r="Q91" s="11" t="str">
        <x:v>CANDIDATE</x:v>
      </x:c>
      <x:c r="R91" s="11" t="str">
        <x:v>User hardware design direction, electrical release pending</x:v>
      </x:c>
      <x:c r="S91" s="11" t="str">
        <x:v>STANDARD watchdog; not a window watchdog. Retain window requirement and B009 pending qualification</x:v>
      </x:c>
      <x:c r="T91" s="11" t="str">
        <x:v>UNKNOWN</x:v>
      </x:c>
      <x:c r="U91" s="11" t="str">
        <x:v>外部配件</x:v>
      </x:c>
      <x:c r="V91" s="11" t="str">
        <x:v>HOLD</x:v>
      </x:c>
    </x:row>
    <x:row r="92" ht="64" customHeight="1">
      <x:c r="A92" s="11" t="str">
        <x:v>H-008</x:v>
      </x:c>
      <x:c r="B92" s="11" t="str">
        <x:v>B027/B028已计两颗Buck，无重复装配</x:v>
      </x:c>
      <x:c r="C92" s="11" t="str">
        <x:v>TPS54202DDCR</x:v>
      </x:c>
      <x:c r="D92" s="11" t="str">
        <x:v>Texas Instruments</x:v>
      </x:c>
      <x:c r="E92" s="13" t="n">
        <x:v>0</x:v>
      </x:c>
      <x:c r="F92" s="14" t="n">
        <x:v>0.1</x:v>
      </x:c>
      <x:c r="G92" s="13" t="n">
        <x:f>ROUNDUP(E92*(1+F92),0)</x:f>
        <x:v>0</x:v>
      </x:c>
      <x:c r="H92" s="11" t="str"/>
      <x:c r="I92" s="11" t="str">
        <x:v>SOT23_6_DDC; Pin1/EP原生库待核</x:v>
      </x:c>
      <x:c r="J92" s="11" t="str">
        <x:v>SEE_POWER_DOMAIN_CONTRACT</x:v>
      </x:c>
      <x:c r="K92" s="11" t="str">
        <x:v>UNKNOWN</x:v>
      </x:c>
      <x:c r="L92" s="11" t="str">
        <x:v>外部独立电源 / 线束</x:v>
      </x:c>
      <x:c r="M92" s="11" t="str">
        <x:v>https://www.ti.com/lit/ds/symlink/tps54202.pdf</x:v>
      </x:c>
      <x:c r="N92" s="11" t="str">
        <x:v>授权渠道待选；不默认替代</x:v>
      </x:c>
      <x:c r="O92" s="11" t="str">
        <x:v>SEE_SOURCE_REGISTER</x:v>
      </x:c>
      <x:c r="P92" s="11" t="str">
        <x:v>2026-10-11</x:v>
      </x:c>
      <x:c r="Q92" s="11" t="str">
        <x:v>CANDIDATE</x:v>
      </x:c>
      <x:c r="R92" s="11" t="str">
        <x:v>User hardware design direction, electrical release pending</x:v>
      </x:c>
      <x:c r="S92" s="11" t="str">
        <x:v>B027/B028 independent buck rails; not central5V LDO</x:v>
      </x:c>
      <x:c r="T92" s="11" t="str">
        <x:v>UNKNOWN</x:v>
      </x:c>
      <x:c r="U92" s="11" t="str">
        <x:v>外部配件</x:v>
      </x:c>
      <x:c r="V92" s="11" t="str">
        <x:v>HOLD</x:v>
      </x:c>
    </x:row>
    <x:row r="93" ht="64" customHeight="1">
      <x:c r="A93" s="11" t="str">
        <x:v>H-009</x:v>
      </x:c>
      <x:c r="B93" s="11" t="str">
        <x:v>默认OFF TX电源切断及反灌阻断</x:v>
      </x:c>
      <x:c r="C93" s="11" t="str">
        <x:v>BACK_TO_BACK_FET_AND_DRIVER_TBD</x:v>
      </x:c>
      <x:c r="D93" s="11" t="str">
        <x:v>UNKNOWN_VERIFY</x:v>
      </x:c>
      <x:c r="E93" s="13" t="n">
        <x:v>0</x:v>
      </x:c>
      <x:c r="F93" s="14" t="n">
        <x:v>0.1</x:v>
      </x:c>
      <x:c r="G93" s="13" t="n">
        <x:f>ROUNDUP(E93*(1+F93),0)</x:f>
        <x:v>0</x:v>
      </x:c>
      <x:c r="H93" s="11" t="str"/>
      <x:c r="I93" s="11" t="str">
        <x:v>PIN_REVIEW_TBD; Pin1/EP原生库待核</x:v>
      </x:c>
      <x:c r="J93" s="11" t="str">
        <x:v>SEE_POWER_DOMAIN_CONTRACT</x:v>
      </x:c>
      <x:c r="K93" s="11" t="str">
        <x:v>UNKNOWN</x:v>
      </x:c>
      <x:c r="L93" s="11" t="str">
        <x:v>外部独立电源 / 线束</x:v>
      </x:c>
      <x:c r="M93" s="11" t="str">
        <x:v>CANDIDATE_ENGINEERING_REQUIREMENT</x:v>
      </x:c>
      <x:c r="N93" s="11" t="str">
        <x:v>授权渠道待选；不默认替代</x:v>
      </x:c>
      <x:c r="O93" s="11" t="str">
        <x:v>SEE_SOURCE_REGISTER</x:v>
      </x:c>
      <x:c r="P93" s="11" t="str">
        <x:v>2026-10-11</x:v>
      </x:c>
      <x:c r="Q93" s="11" t="str">
        <x:v>CANDIDATE</x:v>
      </x:c>
      <x:c r="R93" s="11" t="str">
        <x:v>User hardware design direction, electrical release pending</x:v>
      </x:c>
      <x:c r="S93" s="11" t="str">
        <x:v>Independent of PL; gate pulldown and power-off paths required</x:v>
      </x:c>
      <x:c r="T93" s="11" t="str">
        <x:v>UNKNOWN</x:v>
      </x:c>
      <x:c r="U93" s="11" t="str">
        <x:v>外部配件</x:v>
      </x:c>
      <x:c r="V93" s="11" t="str">
        <x:v>HOLD</x:v>
      </x:c>
    </x:row>
    <x:row r="94" ht="64" customHeight="1">
      <x:c r="A94" s="11" t="str">
        <x:v>H-010</x:v>
      </x:c>
      <x:c r="B94" s="11" t="str">
        <x:v>阵列协调保护组</x:v>
      </x:c>
      <x:c r="C94" s="11" t="str">
        <x:v>TVS_FUSE_SET_TBD</x:v>
      </x:c>
      <x:c r="D94" s="11" t="str">
        <x:v>UNKNOWN_VERIFY</x:v>
      </x:c>
      <x:c r="E94" s="13" t="n">
        <x:v>0</x:v>
      </x:c>
      <x:c r="F94" s="14" t="n">
        <x:v>0.1</x:v>
      </x:c>
      <x:c r="G94" s="13" t="n">
        <x:f>ROUNDUP(E94*(1+F94),0)</x:f>
        <x:v>0</x:v>
      </x:c>
      <x:c r="H94" s="11" t="str"/>
      <x:c r="I94" s="11" t="str">
        <x:v>VALUES_TBD; Pin1/EP原生库待核</x:v>
      </x:c>
      <x:c r="J94" s="11" t="str">
        <x:v>SEE_POWER_DOMAIN_CONTRACT</x:v>
      </x:c>
      <x:c r="K94" s="11" t="str">
        <x:v>UNKNOWN</x:v>
      </x:c>
      <x:c r="L94" s="11" t="str">
        <x:v>外部独立电源 / 线束</x:v>
      </x:c>
      <x:c r="M94" s="11" t="str">
        <x:v>CANDIDATE_ENGINEERING_REQUIREMENT</x:v>
      </x:c>
      <x:c r="N94" s="11" t="str">
        <x:v>授权渠道待选；不默认替代</x:v>
      </x:c>
      <x:c r="O94" s="11" t="str">
        <x:v>SEE_SOURCE_REGISTER</x:v>
      </x:c>
      <x:c r="P94" s="11" t="str">
        <x:v>2026-10-11</x:v>
      </x:c>
      <x:c r="Q94" s="11" t="str">
        <x:v>CANDIDATE</x:v>
      </x:c>
      <x:c r="R94" s="11" t="str">
        <x:v>User hardware design direction, electrical release pending</x:v>
      </x:c>
      <x:c r="S94" s="11" t="str">
        <x:v>No SMBJ20A assumption; eFuse67V and driver18V transient envelope separate</x:v>
      </x:c>
      <x:c r="T94" s="11" t="str">
        <x:v>UNKNOWN</x:v>
      </x:c>
      <x:c r="U94" s="11" t="str">
        <x:v>外部配件</x:v>
      </x:c>
      <x:c r="V94" s="11" t="str">
        <x:v>HOLD</x:v>
      </x:c>
    </x:row>
    <x:row r="95" ht="64" customHeight="1">
      <x:c r="A95" s="11" t="str">
        <x:v>H-011</x:v>
      </x:c>
      <x:c r="B95" s="11" t="str">
        <x:v>硬件过温及人工重启锁存</x:v>
      </x:c>
      <x:c r="C95" s="11" t="str">
        <x:v>HOTSPOT_COMPARATOR_LATCH_REARM_TBD</x:v>
      </x:c>
      <x:c r="D95" s="11" t="str">
        <x:v>UNKNOWN_VERIFY</x:v>
      </x:c>
      <x:c r="E95" s="13" t="n">
        <x:v>0</x:v>
      </x:c>
      <x:c r="F95" s="14" t="n">
        <x:v>0.1</x:v>
      </x:c>
      <x:c r="G95" s="13" t="n">
        <x:f>ROUNDUP(E95*(1+F95),0)</x:f>
        <x:v>0</x:v>
      </x:c>
      <x:c r="H95" s="11" t="str"/>
      <x:c r="I95" s="11" t="str">
        <x:v>PIN_REVIEW_TBD; Pin1/EP原生库待核</x:v>
      </x:c>
      <x:c r="J95" s="11" t="str">
        <x:v>SEE_POWER_DOMAIN_CONTRACT</x:v>
      </x:c>
      <x:c r="K95" s="11" t="str">
        <x:v>UNKNOWN</x:v>
      </x:c>
      <x:c r="L95" s="11" t="str">
        <x:v>外部独立电源 / 线束</x:v>
      </x:c>
      <x:c r="M95" s="11" t="str">
        <x:v>CANDIDATE_ENGINEERING_REQUIREMENT</x:v>
      </x:c>
      <x:c r="N95" s="11" t="str">
        <x:v>授权渠道待选；不默认替代</x:v>
      </x:c>
      <x:c r="O95" s="11" t="str">
        <x:v>SEE_SOURCE_REGISTER</x:v>
      </x:c>
      <x:c r="P95" s="11" t="str">
        <x:v>2026-10-11</x:v>
      </x:c>
      <x:c r="Q95" s="11" t="str">
        <x:v>CANDIDATE</x:v>
      </x:c>
      <x:c r="R95" s="11" t="str">
        <x:v>User hardware design direction, electrical release pending</x:v>
      </x:c>
      <x:c r="S95" s="11" t="str">
        <x:v>TMP117/I2C is not independent hard cutoff</x:v>
      </x:c>
      <x:c r="T95" s="11" t="str">
        <x:v>UNKNOWN</x:v>
      </x:c>
      <x:c r="U95" s="11" t="str">
        <x:v>外部配件</x:v>
      </x:c>
      <x:c r="V95" s="11" t="str">
        <x:v>HOLD</x:v>
      </x:c>
    </x:row>
    <x:row r="96" ht="64" customHeight="1">
      <x:c r="A96" s="11" t="str">
        <x:v>H-012</x:v>
      </x:c>
      <x:c r="B96" s="11" t="str">
        <x:v>中央5V保护及ADC供电调节</x:v>
      </x:c>
      <x:c r="C96" s="11" t="str">
        <x:v>CENTRAL_USB_EFUSE_BUCKBOOST_TBD</x:v>
      </x:c>
      <x:c r="D96" s="11" t="str">
        <x:v>UNKNOWN_VERIFY</x:v>
      </x:c>
      <x:c r="E96" s="13" t="n">
        <x:v>0</x:v>
      </x:c>
      <x:c r="F96" s="14" t="n">
        <x:v>0.1</x:v>
      </x:c>
      <x:c r="G96" s="13" t="n">
        <x:f>ROUNDUP(E96*(1+F96),0)</x:f>
        <x:v>0</x:v>
      </x:c>
      <x:c r="H96" s="11" t="str"/>
      <x:c r="I96" s="11" t="str">
        <x:v>PIN_REVIEW_TBD; Pin1/EP原生库待核</x:v>
      </x:c>
      <x:c r="J96" s="11" t="str">
        <x:v>SEE_POWER_DOMAIN_CONTRACT</x:v>
      </x:c>
      <x:c r="K96" s="11" t="str">
        <x:v>UNKNOWN</x:v>
      </x:c>
      <x:c r="L96" s="11" t="str">
        <x:v>外部独立电源 / 线束</x:v>
      </x:c>
      <x:c r="M96" s="11" t="str">
        <x:v>CANDIDATE_ENGINEERING_REQUIREMENT</x:v>
      </x:c>
      <x:c r="N96" s="11" t="str">
        <x:v>授权渠道待选；不默认替代</x:v>
      </x:c>
      <x:c r="O96" s="11" t="str">
        <x:v>SEE_SOURCE_REGISTER</x:v>
      </x:c>
      <x:c r="P96" s="11" t="str">
        <x:v>2026-10-11</x:v>
      </x:c>
      <x:c r="Q96" s="11" t="str">
        <x:v>CANDIDATE</x:v>
      </x:c>
      <x:c r="R96" s="11" t="str">
        <x:v>User hardware design direction, electrical release pending</x:v>
      </x:c>
      <x:c r="S96" s="11" t="str">
        <x:v>VBUSmin minus cable and switch may violate4.75V ADC AVCC</x:v>
      </x:c>
      <x:c r="T96" s="11" t="str">
        <x:v>UNKNOWN</x:v>
      </x:c>
      <x:c r="U96" s="11" t="str">
        <x:v>外部配件</x:v>
      </x:c>
      <x:c r="V96" s="11" t="str">
        <x:v>HOLD</x:v>
      </x:c>
    </x:row>
    <x:row r="97" ht="64" customHeight="1">
      <x:c r="A97" s="11" t="str">
        <x:v>H-013</x:v>
      </x:c>
      <x:c r="B97" s="11" t="str">
        <x:v>双侧断电高阻信号缓冲</x:v>
      </x:c>
      <x:c r="C97" s="11" t="str">
        <x:v>IOFF_BUFFER_SET_TBD</x:v>
      </x:c>
      <x:c r="D97" s="11" t="str">
        <x:v>UNKNOWN_VERIFY</x:v>
      </x:c>
      <x:c r="E97" s="13" t="n">
        <x:v>0</x:v>
      </x:c>
      <x:c r="F97" s="14" t="n">
        <x:v>0.1</x:v>
      </x:c>
      <x:c r="G97" s="13" t="n">
        <x:f>ROUNDUP(E97*(1+F97),0)</x:f>
        <x:v>0</x:v>
      </x:c>
      <x:c r="H97" s="11" t="str"/>
      <x:c r="I97" s="11" t="str">
        <x:v>PIN_REVIEW_TBD; Pin1/EP原生库待核</x:v>
      </x:c>
      <x:c r="J97" s="11" t="str">
        <x:v>SEE_POWER_DOMAIN_CONTRACT</x:v>
      </x:c>
      <x:c r="K97" s="11" t="str">
        <x:v>UNKNOWN</x:v>
      </x:c>
      <x:c r="L97" s="11" t="str">
        <x:v>外部独立电源 / 线束</x:v>
      </x:c>
      <x:c r="M97" s="11" t="str">
        <x:v>CANDIDATE_ENGINEERING_REQUIREMENT</x:v>
      </x:c>
      <x:c r="N97" s="11" t="str">
        <x:v>授权渠道待选；不默认替代</x:v>
      </x:c>
      <x:c r="O97" s="11" t="str">
        <x:v>SEE_SOURCE_REGISTER</x:v>
      </x:c>
      <x:c r="P97" s="11" t="str">
        <x:v>2026-10-11</x:v>
      </x:c>
      <x:c r="Q97" s="11" t="str">
        <x:v>CANDIDATE</x:v>
      </x:c>
      <x:c r="R97" s="11" t="str">
        <x:v>User hardware design direction, electrical release pending</x:v>
      </x:c>
      <x:c r="S97" s="11" t="str">
        <x:v>Every crossing needs Ioff, OE default-off and ground-return review</x:v>
      </x:c>
      <x:c r="T97" s="11" t="str">
        <x:v>UNKNOWN</x:v>
      </x:c>
      <x:c r="U97" s="11" t="str">
        <x:v>外部配件</x:v>
      </x:c>
      <x:c r="V97" s="11" t="str">
        <x:v>HOLD</x:v>
      </x:c>
    </x:row>
    <x:row r="98" ht="64" customHeight="1">
      <x:c r="A98" s="11" t="str">
        <x:v>H-014</x:v>
      </x:c>
      <x:c r="B98" s="11" t="str">
        <x:v>外部急停及人工重启，板座见NS001</x:v>
      </x:c>
      <x:c r="C98" s="11" t="str">
        <x:v>NC_ESTOP_MANUAL_REARM_TBD</x:v>
      </x:c>
      <x:c r="D98" s="11" t="str">
        <x:v>UNKNOWN_VERIFY</x:v>
      </x:c>
      <x:c r="E98" s="13" t="n">
        <x:v>1</x:v>
      </x:c>
      <x:c r="F98" s="14" t="n">
        <x:v>0.1</x:v>
      </x:c>
      <x:c r="G98" s="13" t="n">
        <x:f>ROUNDUP(E98*(1+F98),0)</x:f>
        <x:v>2</x:v>
      </x:c>
      <x:c r="H98" s="11" t="str">
        <x:v>EX_H014_001</x:v>
      </x:c>
      <x:c r="I98" s="11" t="str">
        <x:v>KEYED_TBD; Pin1/EP原生库待核</x:v>
      </x:c>
      <x:c r="J98" s="11" t="str">
        <x:v>SEE_POWER_DOMAIN_CONTRACT</x:v>
      </x:c>
      <x:c r="K98" s="11" t="str">
        <x:v>UNKNOWN</x:v>
      </x:c>
      <x:c r="L98" s="11" t="str">
        <x:v>外部独立电源 / 线束</x:v>
      </x:c>
      <x:c r="M98" s="11" t="str">
        <x:v>CANDIDATE_ENGINEERING_REQUIREMENT</x:v>
      </x:c>
      <x:c r="N98" s="11" t="str">
        <x:v>授权渠道待选；不默认替代</x:v>
      </x:c>
      <x:c r="O98" s="11" t="str">
        <x:v>SEE_SOURCE_REGISTER</x:v>
      </x:c>
      <x:c r="P98" s="11" t="str">
        <x:v>2026-10-11</x:v>
      </x:c>
      <x:c r="Q98" s="11" t="str">
        <x:v>CANDIDATE</x:v>
      </x:c>
      <x:c r="R98" s="11" t="str">
        <x:v>User hardware design direction, electrical release pending</x:v>
      </x:c>
      <x:c r="S98" s="11" t="str">
        <x:v>Break any wire forces local power-off; fault removal alone cannot restart</x:v>
      </x:c>
      <x:c r="T98" s="11" t="str">
        <x:v>UNKNOWN</x:v>
      </x:c>
      <x:c r="U98" s="11" t="str">
        <x:v>外部配件</x:v>
      </x:c>
      <x:c r="V98" s="11" t="str">
        <x:v>HOLD</x:v>
      </x:c>
    </x:row>
    <x:row r="99" ht="64" customHeight="1">
      <x:c r="A99" s="11" t="str">
        <x:v>H-015</x:v>
      </x:c>
      <x:c r="B99" s="11" t="str">
        <x:v>八路接收屏蔽线束</x:v>
      </x:c>
      <x:c r="C99" s="11" t="str">
        <x:v>SHIELDED_RX_HARNESS_TBD</x:v>
      </x:c>
      <x:c r="D99" s="11" t="str">
        <x:v>UNKNOWN_VERIFY</x:v>
      </x:c>
      <x:c r="E99" s="13" t="n">
        <x:v>8</x:v>
      </x:c>
      <x:c r="F99" s="14" t="n">
        <x:v>0.1</x:v>
      </x:c>
      <x:c r="G99" s="13" t="n">
        <x:f>ROUNDUP(E99*(1+F99),0)</x:f>
        <x:v>9</x:v>
      </x:c>
      <x:c r="H99" s="11" t="str">
        <x:v>EX_H015_001, EX_H015_002, EX_H015_003, EX_H015_004, EX_H015_005, EX_H015_006, EX_H015_007, EX_H015_008</x:v>
      </x:c>
      <x:c r="I99" s="11" t="str">
        <x:v>KEYED_TBD; Pin1/EP原生库待核</x:v>
      </x:c>
      <x:c r="J99" s="11" t="str">
        <x:v>SEE_POWER_DOMAIN_CONTRACT</x:v>
      </x:c>
      <x:c r="K99" s="11" t="str">
        <x:v>UNKNOWN</x:v>
      </x:c>
      <x:c r="L99" s="11" t="str">
        <x:v>外部独立电源 / 线束</x:v>
      </x:c>
      <x:c r="M99" s="11" t="str">
        <x:v>CANDIDATE_ENGINEERING_REQUIREMENT</x:v>
      </x:c>
      <x:c r="N99" s="11" t="str">
        <x:v>授权渠道待选；不默认替代</x:v>
      </x:c>
      <x:c r="O99" s="11" t="str">
        <x:v>SEE_SOURCE_REGISTER</x:v>
      </x:c>
      <x:c r="P99" s="11" t="str">
        <x:v>2026-10-11</x:v>
      </x:c>
      <x:c r="Q99" s="11" t="str">
        <x:v>CANDIDATE</x:v>
      </x:c>
      <x:c r="R99" s="11" t="str">
        <x:v>User hardware design direction, electrical release pending</x:v>
      </x:c>
      <x:c r="S99" s="11" t="str">
        <x:v>Local AFE outputs; no direct unprotected transducer toADC</x:v>
      </x:c>
      <x:c r="T99" s="11" t="str">
        <x:v>UNKNOWN</x:v>
      </x:c>
      <x:c r="U99" s="11" t="str">
        <x:v>外部配件</x:v>
      </x:c>
      <x:c r="V99" s="11" t="str">
        <x:v>HOLD</x:v>
      </x:c>
    </x:row>
    <x:row r="100" ht="64" customHeight="1">
      <x:c r="A100" s="11" t="str">
        <x:v>H-016</x:v>
      </x:c>
      <x:c r="B100" s="11" t="str">
        <x:v>两阵列数据/时钟/状态线束</x:v>
      </x:c>
      <x:c r="C100" s="11" t="str">
        <x:v>KEYED_SIGNAL_HARNESS_TBD</x:v>
      </x:c>
      <x:c r="D100" s="11" t="str">
        <x:v>UNKNOWN_VERIFY</x:v>
      </x:c>
      <x:c r="E100" s="13" t="n">
        <x:v>2</x:v>
      </x:c>
      <x:c r="F100" s="14" t="n">
        <x:v>0.1</x:v>
      </x:c>
      <x:c r="G100" s="13" t="n">
        <x:f>ROUNDUP(E100*(1+F100),0)</x:f>
        <x:v>3</x:v>
      </x:c>
      <x:c r="H100" s="11" t="str">
        <x:v>EX_H016_001, EX_H016_002</x:v>
      </x:c>
      <x:c r="I100" s="11" t="str">
        <x:v>RETURN_GROUND_TBD; Pin1/EP原生库待核</x:v>
      </x:c>
      <x:c r="J100" s="11" t="str">
        <x:v>SEE_POWER_DOMAIN_CONTRACT</x:v>
      </x:c>
      <x:c r="K100" s="11" t="str">
        <x:v>UNKNOWN</x:v>
      </x:c>
      <x:c r="L100" s="11" t="str">
        <x:v>外部独立电源 / 线束</x:v>
      </x:c>
      <x:c r="M100" s="11" t="str">
        <x:v>CANDIDATE_ENGINEERING_REQUIREMENT</x:v>
      </x:c>
      <x:c r="N100" s="11" t="str">
        <x:v>授权渠道待选；不默认替代</x:v>
      </x:c>
      <x:c r="O100" s="11" t="str">
        <x:v>SEE_SOURCE_REGISTER</x:v>
      </x:c>
      <x:c r="P100" s="11" t="str">
        <x:v>2026-10-11</x:v>
      </x:c>
      <x:c r="Q100" s="11" t="str">
        <x:v>CANDIDATE</x:v>
      </x:c>
      <x:c r="R100" s="11" t="str">
        <x:v>User hardware design direction, electrical release pending</x:v>
      </x:c>
      <x:c r="S100" s="11" t="str">
        <x:v>66MHz is unqualified; no ribbon guarantee</x:v>
      </x:c>
      <x:c r="T100" s="11" t="str">
        <x:v>UNKNOWN</x:v>
      </x:c>
      <x:c r="U100" s="11" t="str">
        <x:v>外部配件</x:v>
      </x:c>
      <x:c r="V100" s="11" t="str">
        <x:v>HOLD</x:v>
      </x:c>
    </x:row>
    <x:row r="101" ht="64" customHeight="1">
      <x:c r="A101" s="11" t="str">
        <x:v>H-017</x:v>
      </x:c>
      <x:c r="B101" s="11" t="str">
        <x:v>12V60W电源候选</x:v>
      </x:c>
      <x:c r="C101" s="11" t="str">
        <x:v>GST60A12-P1M</x:v>
      </x:c>
      <x:c r="D101" s="11" t="str">
        <x:v>UNKNOWN_VERIFY</x:v>
      </x:c>
      <x:c r="E101" s="13" t="n">
        <x:v>2</x:v>
      </x:c>
      <x:c r="F101" s="14" t="n">
        <x:v>0.1</x:v>
      </x:c>
      <x:c r="G101" s="13" t="n">
        <x:f>ROUNDUP(E101*(1+F101),0)</x:f>
        <x:v>3</x:v>
      </x:c>
      <x:c r="H101" s="11" t="str">
        <x:v>EX_H017_001, EX_H017_002</x:v>
      </x:c>
      <x:c r="I101" s="11" t="str">
        <x:v>EXTERNAL_5P5x2P5; Pin1/EP原生库待核</x:v>
      </x:c>
      <x:c r="J101" s="11" t="str">
        <x:v>SEE_POWER_DOMAIN_CONTRACT</x:v>
      </x:c>
      <x:c r="K101" s="11" t="str">
        <x:v>UNKNOWN</x:v>
      </x:c>
      <x:c r="L101" s="11" t="str">
        <x:v>外部独立电源 / 线束</x:v>
      </x:c>
      <x:c r="M101" s="11" t="str">
        <x:v>CANDIDATE_ENGINEERING_REQUIREMENT</x:v>
      </x:c>
      <x:c r="N101" s="11" t="str">
        <x:v>授权渠道待选；不默认替代</x:v>
      </x:c>
      <x:c r="O101" s="11" t="str">
        <x:v>SEE_SOURCE_REGISTER</x:v>
      </x:c>
      <x:c r="P101" s="11" t="str">
        <x:v>2026-10-11</x:v>
      </x:c>
      <x:c r="Q101" s="11" t="str">
        <x:v>CANDIDATE</x:v>
      </x:c>
      <x:c r="R101" s="11" t="str">
        <x:v>User hardware design direction, electrical release pending</x:v>
      </x:c>
      <x:c r="S101" s="11" t="str">
        <x:v>Manufacturer P1M plug+5A thermal/load proof and user procurement required</x:v>
      </x:c>
      <x:c r="T101" s="11" t="str">
        <x:v>UNKNOWN</x:v>
      </x:c>
      <x:c r="U101" s="11" t="str">
        <x:v>外部配件</x:v>
      </x:c>
      <x:c r="V101" s="11" t="str">
        <x:v>HOLD</x:v>
      </x:c>
    </x:row>
    <x:row r="102" ht="64" customHeight="1">
      <x:c r="A102" s="11" t="str">
        <x:v>H-018</x:v>
      </x:c>
      <x:c r="B102" s="11" t="str">
        <x:v>12V40W备选不重复装配</x:v>
      </x:c>
      <x:c r="C102" s="11" t="str">
        <x:v>GST40A12-P1M</x:v>
      </x:c>
      <x:c r="D102" s="11" t="str">
        <x:v>UNKNOWN_VERIFY</x:v>
      </x:c>
      <x:c r="E102" s="13" t="n">
        <x:v>0</x:v>
      </x:c>
      <x:c r="F102" s="14" t="n">
        <x:v>0.1</x:v>
      </x:c>
      <x:c r="G102" s="13" t="n">
        <x:f>ROUNDUP(E102*(1+F102),0)</x:f>
        <x:v>0</x:v>
      </x:c>
      <x:c r="H102" s="11" t="str"/>
      <x:c r="I102" s="11" t="str">
        <x:v>EXTERNAL_5P5x2P5; Pin1/EP原生库待核</x:v>
      </x:c>
      <x:c r="J102" s="11" t="str">
        <x:v>SEE_POWER_DOMAIN_CONTRACT</x:v>
      </x:c>
      <x:c r="K102" s="11" t="str">
        <x:v>UNKNOWN</x:v>
      </x:c>
      <x:c r="L102" s="11" t="str">
        <x:v>外部独立电源 / 线束</x:v>
      </x:c>
      <x:c r="M102" s="11" t="str">
        <x:v>CANDIDATE_ENGINEERING_REQUIREMENT</x:v>
      </x:c>
      <x:c r="N102" s="11" t="str">
        <x:v>授权渠道待选；不默认替代</x:v>
      </x:c>
      <x:c r="O102" s="11" t="str">
        <x:v>SEE_SOURCE_REGISTER</x:v>
      </x:c>
      <x:c r="P102" s="11" t="str">
        <x:v>2026-10-11</x:v>
      </x:c>
      <x:c r="Q102" s="11" t="str">
        <x:v>CANDIDATE</x:v>
      </x:c>
      <x:c r="R102" s="11" t="str">
        <x:v>User hardware design direction, electrical release pending</x:v>
      </x:c>
      <x:c r="S102" s="11" t="str">
        <x:v>Alternative only, &lt;=30.77W/board at30% headroom before derating</x:v>
      </x:c>
      <x:c r="T102" s="11" t="str">
        <x:v>UNKNOWN</x:v>
      </x:c>
      <x:c r="U102" s="11" t="str">
        <x:v>外部配件</x:v>
      </x:c>
      <x:c r="V102" s="11" t="str">
        <x:v>HOLD</x:v>
      </x:c>
    </x:row>
    <x:row r="103" ht="64" customHeight="1">
      <x:c r="A103" s="11" t="str">
        <x:v>H-019</x:v>
      </x:c>
      <x:c r="B103" s="11" t="str">
        <x:v>中央独立USB-C电源</x:v>
      </x:c>
      <x:c r="C103" s="11" t="str">
        <x:v>USB_C_5V_3A_SOURCE_TBD</x:v>
      </x:c>
      <x:c r="D103" s="11" t="str">
        <x:v>UNKNOWN_VERIFY</x:v>
      </x:c>
      <x:c r="E103" s="13" t="n">
        <x:v>1</x:v>
      </x:c>
      <x:c r="F103" s="14" t="n">
        <x:v>0.1</x:v>
      </x:c>
      <x:c r="G103" s="13" t="n">
        <x:f>ROUNDUP(E103*(1+F103),0)</x:f>
        <x:v>2</x:v>
      </x:c>
      <x:c r="H103" s="11" t="str">
        <x:v>EX_H019_001</x:v>
      </x:c>
      <x:c r="I103" s="11" t="str">
        <x:v>EXTERNAL; Pin1/EP原生库待核</x:v>
      </x:c>
      <x:c r="J103" s="11" t="str">
        <x:v>SEE_POWER_DOMAIN_CONTRACT</x:v>
      </x:c>
      <x:c r="K103" s="11" t="str">
        <x:v>UNKNOWN</x:v>
      </x:c>
      <x:c r="L103" s="11" t="str">
        <x:v>外部独立电源 / 线束</x:v>
      </x:c>
      <x:c r="M103" s="11" t="str">
        <x:v>CANDIDATE_ENGINEERING_REQUIREMENT</x:v>
      </x:c>
      <x:c r="N103" s="11" t="str">
        <x:v>授权渠道待选；不默认替代</x:v>
      </x:c>
      <x:c r="O103" s="11" t="str">
        <x:v>SEE_SOURCE_REGISTER</x:v>
      </x:c>
      <x:c r="P103" s="11" t="str">
        <x:v>2026-10-11</x:v>
      </x:c>
      <x:c r="Q103" s="11" t="str">
        <x:v>CANDIDATE</x:v>
      </x:c>
      <x:c r="R103" s="11" t="str">
        <x:v>User hardware design direction, electrical release pending</x:v>
      </x:c>
      <x:c r="S103" s="11" t="str">
        <x:v>CC3A availability; no implicit draw3A</x:v>
      </x:c>
      <x:c r="T103" s="11" t="str">
        <x:v>UNKNOWN</x:v>
      </x:c>
      <x:c r="U103" s="11" t="str">
        <x:v>外部配件</x:v>
      </x:c>
      <x:c r="V103" s="11" t="str">
        <x:v>HOLD</x:v>
      </x:c>
    </x:row>
    <x:row r="104" ht="64" customHeight="1">
      <x:c r="A104" s="11" t="str">
        <x:v>H-020</x:v>
      </x:c>
      <x:c r="B104" s="11" t="str">
        <x:v>每路驱动输入默认低</x:v>
      </x:c>
      <x:c r="C104" s="11" t="str">
        <x:v>DRIVER_INPUT_PULLDOWN_TBD</x:v>
      </x:c>
      <x:c r="D104" s="11" t="str">
        <x:v>UNKNOWN_VERIFY</x:v>
      </x:c>
      <x:c r="E104" s="13" t="n">
        <x:v>0</x:v>
      </x:c>
      <x:c r="F104" s="14" t="n">
        <x:v>0.1</x:v>
      </x:c>
      <x:c r="G104" s="13" t="n">
        <x:f>ROUNDUP(E104*(1+F104),0)</x:f>
        <x:v>0</x:v>
      </x:c>
      <x:c r="H104" s="11" t="str"/>
      <x:c r="I104" s="11" t="str">
        <x:v>R_VALUE_TBD; Pin1/EP原生库待核</x:v>
      </x:c>
      <x:c r="J104" s="11" t="str">
        <x:v>SEE_POWER_DOMAIN_CONTRACT</x:v>
      </x:c>
      <x:c r="K104" s="11" t="str">
        <x:v>UNKNOWN</x:v>
      </x:c>
      <x:c r="L104" s="11" t="str">
        <x:v>外部独立电源 / 线束</x:v>
      </x:c>
      <x:c r="M104" s="11" t="str">
        <x:v>CANDIDATE_ENGINEERING_REQUIREMENT</x:v>
      </x:c>
      <x:c r="N104" s="11" t="str">
        <x:v>授权渠道待选；不默认替代</x:v>
      </x:c>
      <x:c r="O104" s="11" t="str">
        <x:v>SEE_SOURCE_REGISTER</x:v>
      </x:c>
      <x:c r="P104" s="11" t="str">
        <x:v>2026-10-11</x:v>
      </x:c>
      <x:c r="Q104" s="11" t="str">
        <x:v>CANDIDATE</x:v>
      </x:c>
      <x:c r="R104" s="11" t="str">
        <x:v>User hardware design direction, electrical release pending</x:v>
      </x:c>
      <x:c r="S104" s="11" t="str">
        <x:v>595OE high makes Q high-Z; pulldown must defeat leakage without load excess</x:v>
      </x:c>
      <x:c r="T104" s="11" t="str">
        <x:v>UNKNOWN</x:v>
      </x:c>
      <x:c r="U104" s="11" t="str">
        <x:v>外部配件</x:v>
      </x:c>
      <x:c r="V104" s="11" t="str">
        <x:v>HOLD</x:v>
      </x:c>
    </x:row>
    <x:row r="105" ht="64" customHeight="1">
      <x:c r="A105" s="11" t="str">
        <x:v>H-021</x:v>
      </x:c>
      <x:c r="B105" s="11" t="str">
        <x:v>I2C独立复位电路</x:v>
      </x:c>
      <x:c r="C105" s="11" t="str">
        <x:v>MUX_RESET_SUPERVISOR_TBD</x:v>
      </x:c>
      <x:c r="D105" s="11" t="str">
        <x:v>UNKNOWN_VERIFY</x:v>
      </x:c>
      <x:c r="E105" s="13" t="n">
        <x:v>0</x:v>
      </x:c>
      <x:c r="F105" s="14" t="n">
        <x:v>0.1</x:v>
      </x:c>
      <x:c r="G105" s="13" t="n">
        <x:f>ROUNDUP(E105*(1+F105),0)</x:f>
        <x:v>0</x:v>
      </x:c>
      <x:c r="H105" s="11" t="str"/>
      <x:c r="I105" s="11" t="str">
        <x:v>PIN_REVIEW_TBD; Pin1/EP原生库待核</x:v>
      </x:c>
      <x:c r="J105" s="11" t="str">
        <x:v>SEE_POWER_DOMAIN_CONTRACT</x:v>
      </x:c>
      <x:c r="K105" s="11" t="str">
        <x:v>UNKNOWN</x:v>
      </x:c>
      <x:c r="L105" s="11" t="str">
        <x:v>外部独立电源 / 线束</x:v>
      </x:c>
      <x:c r="M105" s="11" t="str">
        <x:v>CANDIDATE_ENGINEERING_REQUIREMENT</x:v>
      </x:c>
      <x:c r="N105" s="11" t="str">
        <x:v>授权渠道待选；不默认替代</x:v>
      </x:c>
      <x:c r="O105" s="11" t="str">
        <x:v>SEE_SOURCE_REGISTER</x:v>
      </x:c>
      <x:c r="P105" s="11" t="str">
        <x:v>2026-10-11</x:v>
      </x:c>
      <x:c r="Q105" s="11" t="str">
        <x:v>CANDIDATE</x:v>
      </x:c>
      <x:c r="R105" s="11" t="str">
        <x:v>User hardware design direction, electrical release pending</x:v>
      </x:c>
      <x:c r="S105" s="11" t="str">
        <x:v>No new PL GPIO claimed; supervisor/recovery method needs actual circuit</x:v>
      </x:c>
      <x:c r="T105" s="11" t="str">
        <x:v>UNKNOWN</x:v>
      </x:c>
      <x:c r="U105" s="11" t="str">
        <x:v>外部配件</x:v>
      </x:c>
      <x:c r="V105" s="11" t="str">
        <x:v>HOLD</x:v>
      </x:c>
    </x:row>
    <x:row r="106">
      <x:c r="A106" s="9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  <x:c r="R106" s="9"/>
      <x:c r="S106" s="9"/>
      <x:c r="T106" s="9"/>
      <x:c r="U106" s="9"/>
      <x:c r="V106" s="9"/>
    </x:row>
    <x:row r="107">
      <x:c r="A107" s="9" t="str">
        <x:v>装机数量合计</x:v>
      </x:c>
      <x:c r="B107" s="9"/>
      <x:c r="C107" s="9"/>
      <x:c r="D107" s="9"/>
      <x:c r="E107" s="9" t="n">
        <x:f>SUM(E5:E105)</x:f>
        <x:v>20</x:v>
      </x:c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  <x:c r="Q107" s="9"/>
      <x:c r="R107" s="9"/>
      <x:c r="S107" s="9"/>
      <x:c r="T107" s="9"/>
      <x:c r="U107" s="9"/>
      <x:c r="V107" s="9"/>
    </x:row>
  </x:sheetData>
  <x:pageMargins left="0.7" right="0.7" top="0.75" bottom="0.75" header="0.3" footer="0.3"/>
  <x:tableParts count="1">
    <x:tablePart xmlns:r="http://schemas.openxmlformats.org/officeDocument/2006/relationships" r:id="R49a08d29381b4ce2"/>
  </x:tableParts>
</x:worksheet>
</file>