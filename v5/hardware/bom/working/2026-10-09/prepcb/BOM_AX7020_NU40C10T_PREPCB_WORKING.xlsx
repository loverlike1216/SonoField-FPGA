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05d22afd42f442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view" sheetId="1" r:id="R1c9bd8bc41d044bb"/>
    <x:sheet xmlns:r="http://schemas.openxmlformats.org/officeDocument/2006/relationships" name="Upper" sheetId="2" r:id="R59e88c27b4664b6b"/>
    <x:sheet xmlns:r="http://schemas.openxmlformats.org/officeDocument/2006/relationships" name="Lower" sheetId="3" r:id="R2e371cd794404d94"/>
    <x:sheet xmlns:r="http://schemas.openxmlformats.org/officeDocument/2006/relationships" name="Central" sheetId="4" r:id="Rf663b9863fa04d18"/>
    <x:sheet xmlns:r="http://schemas.openxmlformats.org/officeDocument/2006/relationships" name="External" sheetId="5" r:id="R4ab40e1ebb6e409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0%"/>
    <x:numFmt numFmtId="202" formatCode="0.000"/>
  </x:numFmts>
  <x:fonts count="4">
    <x:font>
      <x:sz val="11"/>
      <x:name val="Carlito"/>
    </x:font>
    <x:font>
      <x:sz val="10"/>
      <x:name val="Arial"/>
    </x:font>
    <x:font>
      <x:b/>
      <x:sz val="14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FF0CE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5">
    <x:xf numFmtId="0" fontId="0" fillId="0" borderId="0" xfId="0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1" fillId="0" borderId="0" xfId="0" applyNumberFormat="1" applyFont="1" applyFill="1" applyBorder="1"/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 applyAlignment="1">
      <x:alignment wrapText="1"/>
    </x:xf>
    <x:xf numFmtId="201" fontId="1" fillId="0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/>
    <x:xf numFmtId="202" fontId="1" fillId="0" borderId="0" xfId="0" applyNumberFormat="1" applyFont="1" applyFill="1" applyBorder="1"/>
  </x:cellXfs>
  <x:cellStyles count="1">
    <x:cellStyle name="Normal" xfId="0"/>
  </x:cellStyles>
  <x:dxfs count="4">
    <x:dxf>
      <x:fill>
        <x:patternFill patternType="solid">
          <x:bgColor rgb="FFFFF0CE"/>
        </x:patternFill>
      </x:fill>
    </x:dxf>
    <x:dxf>
      <x:fill>
        <x:patternFill patternType="solid">
          <x:bgColor rgb="FFFFF0CE"/>
        </x:patternFill>
      </x:fill>
    </x:dxf>
    <x:dxf>
      <x:fill>
        <x:patternFill patternType="solid">
          <x:bgColor rgb="FFFFF0CE"/>
        </x:patternFill>
      </x:fill>
    </x:dxf>
    <x:dxf>
      <x:fill>
        <x:patternFill patternType="solid">
          <x:bgColor rgb="FFFFF0C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1c204ef277d428f" /><Relationship Type="http://schemas.openxmlformats.org/officeDocument/2006/relationships/theme" Target="/xl/theme/theme1.xml" Id="Rc1c3eb10b72c4ad5" /><Relationship Type="http://schemas.openxmlformats.org/officeDocument/2006/relationships/sharedStrings" Target="/xl/sharedStrings.xml" Id="R346561a43bec4ab1" /><Relationship Type="http://schemas.openxmlformats.org/officeDocument/2006/relationships/worksheet" Target="/xl/worksheets/sheet1.xml" Id="R1c9bd8bc41d044bb" /><Relationship Type="http://schemas.openxmlformats.org/officeDocument/2006/relationships/worksheet" Target="/xl/worksheets/sheet2.xml" Id="R59e88c27b4664b6b" /><Relationship Type="http://schemas.openxmlformats.org/officeDocument/2006/relationships/worksheet" Target="/xl/worksheets/sheet3.xml" Id="R2e371cd794404d94" /><Relationship Type="http://schemas.openxmlformats.org/officeDocument/2006/relationships/worksheet" Target="/xl/worksheets/sheet4.xml" Id="Rf663b9863fa04d18" /><Relationship Type="http://schemas.openxmlformats.org/officeDocument/2006/relationships/worksheet" Target="/xl/worksheets/sheet5.xml" Id="R4ab40e1ebb6e409b" /></Relationships>
</file>

<file path=xl/tables/table1.xml><?xml version="1.0" encoding="utf-8"?>
<x:table xmlns:x="http://schemas.openxmlformats.org/spreadsheetml/2006/main" id="1" name="UpperAssembly" displayName="UpperAssembly" ref="A4:P56" headerRowCount="1" totalsRowCount="0" totalsRowShown="0">
  <x:tableColumns count="16">
    <x:tableColumn id="1" name="ID"/>
    <x:tableColumn id="2" name="Part / MPN"/>
    <x:tableColumn id="3" name="Package"/>
    <x:tableColumn id="4" name="Installed qty"/>
    <x:tableColumn id="5" name="Suggested spare %"/>
    <x:tableColumn id="6" name="Procurement qty"/>
    <x:tableColumn id="7" name="Supply / rating"/>
    <x:tableColumn id="8" name="Max current A"/>
    <x:tableColumn id="9" name="IO domain"/>
    <x:tableColumn id="10" name="Measured"/>
    <x:tableColumn id="11" name="Package verification"/>
    <x:tableColumn id="12" name="Source URL"/>
    <x:tableColumn id="13" name="Supplier"/>
    <x:tableColumn id="14" name="Approval"/>
    <x:tableColumn id="15" name="Risk / required action"/>
    <x:tableColumn id="16" name="Manufacture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LowerAssembly" displayName="LowerAssembly" ref="A4:P56" headerRowCount="1" totalsRowCount="0" totalsRowShown="0">
  <x:tableColumns count="16">
    <x:tableColumn id="1" name="ID"/>
    <x:tableColumn id="2" name="Part / MPN"/>
    <x:tableColumn id="3" name="Package"/>
    <x:tableColumn id="4" name="Installed qty"/>
    <x:tableColumn id="5" name="Suggested spare %"/>
    <x:tableColumn id="6" name="Procurement qty"/>
    <x:tableColumn id="7" name="Supply / rating"/>
    <x:tableColumn id="8" name="Max current A"/>
    <x:tableColumn id="9" name="IO domain"/>
    <x:tableColumn id="10" name="Measured"/>
    <x:tableColumn id="11" name="Package verification"/>
    <x:tableColumn id="12" name="Source URL"/>
    <x:tableColumn id="13" name="Supplier"/>
    <x:tableColumn id="14" name="Approval"/>
    <x:tableColumn id="15" name="Risk / required action"/>
    <x:tableColumn id="16" name="Manufacturer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CentralAssembly" displayName="CentralAssembly" ref="A4:P34" headerRowCount="1" totalsRowCount="0" totalsRowShown="0">
  <x:tableColumns count="16">
    <x:tableColumn id="1" name="ID"/>
    <x:tableColumn id="2" name="Part / MPN"/>
    <x:tableColumn id="3" name="Package"/>
    <x:tableColumn id="4" name="Installed qty"/>
    <x:tableColumn id="5" name="Suggested spare %"/>
    <x:tableColumn id="6" name="Procurement qty"/>
    <x:tableColumn id="7" name="Supply / rating"/>
    <x:tableColumn id="8" name="Max current A"/>
    <x:tableColumn id="9" name="IO domain"/>
    <x:tableColumn id="10" name="Measured"/>
    <x:tableColumn id="11" name="Package verification"/>
    <x:tableColumn id="12" name="Source URL"/>
    <x:tableColumn id="13" name="Supplier"/>
    <x:tableColumn id="14" name="Approval"/>
    <x:tableColumn id="15" name="Risk / required action"/>
    <x:tableColumn id="16" name="Manufacturer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xternalAssembly" displayName="ExternalAssembly" ref="A4:P12" headerRowCount="1" totalsRowCount="0" totalsRowShown="0">
  <x:tableColumns count="16">
    <x:tableColumn id="1" name="ID"/>
    <x:tableColumn id="2" name="Part / MPN"/>
    <x:tableColumn id="3" name="Package"/>
    <x:tableColumn id="4" name="Installed qty"/>
    <x:tableColumn id="5" name="Suggested spare %"/>
    <x:tableColumn id="6" name="Procurement qty"/>
    <x:tableColumn id="7" name="Supply / rating"/>
    <x:tableColumn id="8" name="Max current A"/>
    <x:tableColumn id="9" name="IO domain"/>
    <x:tableColumn id="10" name="Measured"/>
    <x:tableColumn id="11" name="Package verification"/>
    <x:tableColumn id="12" name="Source URL"/>
    <x:tableColumn id="13" name="Supplier"/>
    <x:tableColumn id="14" name="Approval"/>
    <x:tableColumn id="15" name="Risk / required action"/>
    <x:tableColumn id="16" name="Manufacturer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a854a6570d2441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b2dbd93f61e486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43b4ae9a60f470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b5dec637a68437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60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</x:cols>
  <x:sheetData>
    <x:row r="2">
      <x:c r="A2" s="6" t="str">
        <x:v>SonoField v5 pre-PCB BOM</x:v>
      </x:c>
      <x:c r="B2" s="3"/>
      <x:c r="C2" s="3"/>
      <x:c r="D2" s="3"/>
      <x:c r="E2" s="3"/>
      <x:c r="F2" s="3"/>
    </x:row>
    <x:row r="3">
      <x:c r="A3" s="3"/>
      <x:c r="B3" s="3"/>
      <x:c r="C3" s="3"/>
      <x:c r="D3" s="3"/>
      <x:c r="E3" s="3"/>
      <x:c r="F3" s="3"/>
    </x:row>
    <x:row r="4" ht="24" customHeight="1">
      <x:c r="A4" s="3" t="str">
        <x:v>Release</x:v>
      </x:c>
      <x:c r="B4" s="3" t="str">
        <x:v>HOLD</x:v>
      </x:c>
      <x:c r="C4" s="3"/>
      <x:c r="D4" s="3"/>
      <x:c r="E4" s="3"/>
      <x:c r="F4" s="3"/>
    </x:row>
    <x:row r="5" ht="24" customHeight="1">
      <x:c r="A5" s="3" t="str">
        <x:v>Formal ADC</x:v>
      </x:c>
      <x:c r="B5" s="3" t="str">
        <x:v>AD7606BBSTZ-RL</x:v>
      </x:c>
      <x:c r="C5" s="3"/>
      <x:c r="D5" s="3"/>
      <x:c r="E5" s="3"/>
      <x:c r="F5" s="3"/>
    </x:row>
    <x:row r="6" ht="24" customHeight="1">
      <x:c r="A6" s="3" t="str">
        <x:v>TX</x:v>
      </x:c>
      <x:c r="B6" s="3" t="str">
        <x:v>NU40C10T</x:v>
      </x:c>
      <x:c r="C6" s="3"/>
      <x:c r="D6" s="3"/>
      <x:c r="E6" s="3"/>
      <x:c r="F6" s="3"/>
    </x:row>
    <x:row r="7" ht="24" customHeight="1">
      <x:c r="A7" s="3" t="str">
        <x:v>RX</x:v>
      </x:c>
      <x:c r="B7" s="3" t="str">
        <x:v>MPN REQUIRED</x:v>
      </x:c>
      <x:c r="C7" s="3"/>
      <x:c r="D7" s="3"/>
      <x:c r="E7" s="3"/>
      <x:c r="F7" s="3"/>
    </x:row>
    <x:row r="8" ht="24" customHeight="1">
      <x:c r="A8" s="3" t="str">
        <x:v>Temperature</x:v>
      </x:c>
      <x:c r="B8" s="3" t="str">
        <x:v>3 TMP117 required</x:v>
      </x:c>
      <x:c r="C8" s="3"/>
      <x:c r="D8" s="3"/>
      <x:c r="E8" s="3"/>
      <x:c r="F8" s="3"/>
    </x:row>
    <x:row r="9" ht="24" customHeight="1">
      <x:c r="A9" s="3" t="str">
        <x:v>Central power</x:v>
      </x:c>
      <x:c r="B9" s="3" t="str">
        <x:v>AX7020 headers; measured budget missing</x:v>
      </x:c>
      <x:c r="C9" s="3"/>
      <x:c r="D9" s="3"/>
      <x:c r="E9" s="3"/>
      <x:c r="F9" s="3"/>
    </x:row>
    <x:row r="10" ht="24" customHeight="1">
      <x:c r="A10" s="3" t="str">
        <x:v>Array sources</x:v>
      </x:c>
      <x:c r="B10" s="3" t="str">
        <x:v>2 independent12V5A candidates</x:v>
      </x:c>
      <x:c r="C10" s="3"/>
      <x:c r="D10" s="3"/>
      <x:c r="E10" s="3"/>
      <x:c r="F10" s="3"/>
    </x:row>
    <x:row r="11" ht="24" customHeight="1">
      <x:c r="A11" s="3" t="str">
        <x:v>Manufacturing</x:v>
      </x:c>
      <x:c r="B11" s="3" t="str">
        <x:v>NOT_RELEASED; native ERC NOT_RUN</x:v>
      </x:c>
      <x:c r="C11" s="3"/>
      <x:c r="D11" s="3"/>
      <x:c r="E11" s="3"/>
      <x:c r="F11" s="3"/>
    </x:row>
    <x:row r="12">
      <x:c r="A12" s="3"/>
      <x:c r="B12" s="3"/>
      <x:c r="C12" s="3"/>
      <x:c r="D12" s="3"/>
      <x:c r="E12" s="3"/>
      <x:c r="F12" s="3"/>
    </x:row>
    <x:row r="13" ht="28" customHeight="1">
      <x:c r="A13" s="8" t="str">
        <x:v>Board</x:v>
      </x:c>
      <x:c r="B13" s="8" t="str">
        <x:v>Installed items</x:v>
      </x:c>
      <x:c r="C13" s="8" t="str">
        <x:v>Candidate quantities</x:v>
      </x:c>
      <x:c r="D13" s="8" t="str">
        <x:v>Procurement release</x:v>
      </x:c>
      <x:c r="E13" s="3"/>
      <x:c r="F13" s="3"/>
    </x:row>
    <x:row r="14">
      <x:c r="A14" s="3" t="str">
        <x:v>Upper</x:v>
      </x:c>
      <x:c r="B14" s="3" t="n">
        <x:v>52</x:v>
      </x:c>
      <x:c r="C14" s="3" t="n">
        <x:f>SUM('Upper'!D5:D56)</x:f>
        <x:v>484</x:v>
      </x:c>
      <x:c r="D14" s="3" t="str">
        <x:v>HOLD</x:v>
      </x:c>
      <x:c r="E14" s="3"/>
      <x:c r="F14" s="3"/>
    </x:row>
    <x:row r="15">
      <x:c r="A15" s="3" t="str">
        <x:v>Lower</x:v>
      </x:c>
      <x:c r="B15" s="3" t="n">
        <x:v>52</x:v>
      </x:c>
      <x:c r="C15" s="3" t="n">
        <x:f>SUM('Lower'!D5:D56)</x:f>
        <x:v>484</x:v>
      </x:c>
      <x:c r="D15" s="3" t="str">
        <x:v>HOLD</x:v>
      </x:c>
      <x:c r="E15" s="3"/>
      <x:c r="F15" s="3"/>
    </x:row>
    <x:row r="16">
      <x:c r="A16" s="3" t="str">
        <x:v>Central</x:v>
      </x:c>
      <x:c r="B16" s="3" t="n">
        <x:v>30</x:v>
      </x:c>
      <x:c r="C16" s="3" t="n">
        <x:f>SUM('Central'!D5:D34)</x:f>
        <x:v>82</x:v>
      </x:c>
      <x:c r="D16" s="3" t="str">
        <x:v>HOLD</x:v>
      </x:c>
      <x:c r="E16" s="3"/>
      <x:c r="F16" s="3"/>
    </x:row>
    <x:row r="17">
      <x:c r="A17" s="3" t="str">
        <x:v>External</x:v>
      </x:c>
      <x:c r="B17" s="3" t="n">
        <x:v>8</x:v>
      </x:c>
      <x:c r="C17" s="3" t="n">
        <x:f>SUM('External'!D5:D12)</x:f>
        <x:v>13</x:v>
      </x:c>
      <x:c r="D17" s="3" t="str">
        <x:v>HOLD</x:v>
      </x:c>
      <x:c r="E17" s="3"/>
      <x:c r="F17" s="3"/>
    </x:row>
    <x:row r="18">
      <x:c r="A18" s="3"/>
      <x:c r="B18" s="3"/>
      <x:c r="C18" s="3"/>
      <x:c r="D18" s="3"/>
      <x:c r="E18" s="3"/>
      <x:c r="F18" s="3"/>
    </x:row>
    <x:row r="19">
      <x:c r="A19" s="3"/>
      <x:c r="B19" s="3"/>
      <x:c r="C19" s="3"/>
      <x:c r="D19" s="3"/>
      <x:c r="E19" s="3"/>
      <x:c r="F19" s="3"/>
    </x:row>
    <x:row r="20">
      <x:c r="A20" s="3" t="str">
        <x:v>Sensitivity inputs</x:v>
      </x:c>
      <x:c r="B20" s="3" t="str">
        <x:v>C_eq nF (hypothetical)</x:v>
      </x:c>
      <x:c r="C20" s="3" t="str">
        <x:v>V swing</x:v>
      </x:c>
      <x:c r="D20" s="3" t="str">
        <x:v>Frequency Hz</x:v>
      </x:c>
      <x:c r="E20" s="3"/>
      <x:c r="F20" s="3"/>
    </x:row>
    <x:row r="21">
      <x:c r="A21" s="3" t="str">
        <x:v>Ideal charging only</x:v>
      </x:c>
      <x:c r="B21" s="13" t="n">
        <x:v>2</x:v>
      </x:c>
      <x:c r="C21" s="13" t="n">
        <x:v>12</x:v>
      </x:c>
      <x:c r="D21" s="13" t="n">
        <x:v>40000</x:v>
      </x:c>
      <x:c r="E21" s="3"/>
      <x:c r="F21" s="3"/>
    </x:row>
    <x:row r="22">
      <x:c r="A22" s="3"/>
      <x:c r="B22" s="3"/>
      <x:c r="C22" s="3"/>
      <x:c r="D22" s="3"/>
      <x:c r="E22" s="3"/>
      <x:c r="F22" s="3"/>
    </x:row>
    <x:row r="23">
      <x:c r="A23" s="3" t="str">
        <x:v>64TX ideal capacitive charging W</x:v>
      </x:c>
      <x:c r="B23" s="14" t="n">
        <x:f>64*B21*1E-9*C21^2*D21</x:f>
        <x:v>0.73728</x:v>
      </x:c>
      <x:c r="C23" s="3"/>
      <x:c r="D23" s="3"/>
      <x:c r="E23" s="3"/>
      <x:c r="F23" s="3"/>
    </x:row>
    <x:row r="24">
      <x:c r="A24" s="3"/>
      <x:c r="B24" s="3"/>
      <x:c r="C24" s="3"/>
      <x:c r="D24" s="3"/>
      <x:c r="E24" s="3"/>
      <x:c r="F24" s="3"/>
    </x:row>
    <x:row r="25">
      <x:c r="A25" s="3" t="str">
        <x:v>Measured C_eq</x:v>
      </x:c>
      <x:c r="B25" s="3" t="str">
        <x:v>UNKNOWN</x:v>
      </x:c>
      <x:c r="C25" s="3"/>
      <x:c r="D25" s="3"/>
      <x:c r="E25" s="3"/>
      <x:c r="F25" s="3"/>
    </x:row>
    <x:row r="26">
      <x:c r="A26" s="3" t="str">
        <x:v>Driver loss / resonance</x:v>
      </x:c>
      <x:c r="B26" s="3" t="str">
        <x:v>NOT_INCLUDED</x:v>
      </x:c>
      <x:c r="C26" s="3"/>
      <x:c r="D26" s="3"/>
      <x:c r="E26" s="3"/>
      <x:c r="F26" s="3"/>
    </x:row>
    <x:row r="27">
      <x:c r="A27" s="3" t="str">
        <x:v>5A source vs2A eFuse</x:v>
      </x:c>
      <x:c r="B27" s="3" t="str">
        <x:v>Available current NOT_QUALIFIED</x:v>
      </x:c>
      <x:c r="C27" s="3"/>
      <x:c r="D27" s="3"/>
      <x:c r="E27" s="3"/>
      <x:c r="F27" s="3"/>
    </x:row>
    <x:row r="28">
      <x:c r="A28" s="3" t="str">
        <x:v>Central max/startup current</x:v>
      </x:c>
      <x:c r="B28" s="3" t="str">
        <x:v>MEASUREMENT_REQUIRED</x:v>
      </x:c>
      <x:c r="C28" s="3"/>
      <x:c r="D28" s="3"/>
      <x:c r="E28" s="3"/>
      <x:c r="F28" s="3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2" hidden="0" customWidth="1"/>
    <x:col min="2" max="2" width="35" hidden="0" customWidth="1"/>
    <x:col min="3" max="3" width="20" hidden="0" customWidth="1"/>
    <x:col min="4" max="4" width="12" hidden="0" customWidth="1"/>
    <x:col min="5" max="5" width="12" hidden="0" customWidth="1"/>
    <x:col min="6" max="6" width="14" hidden="0" customWidth="1"/>
    <x:col min="7" max="7" width="50" hidden="0" customWidth="1"/>
    <x:col min="8" max="8" width="14" hidden="0" customWidth="1"/>
    <x:col min="9" max="9" width="35" hidden="0" customWidth="1"/>
    <x:col min="10" max="10" width="18" hidden="0" customWidth="1"/>
    <x:col min="11" max="11" width="38" hidden="0" customWidth="1"/>
    <x:col min="12" max="12" width="55" hidden="0" customWidth="1"/>
    <x:col min="13" max="13" width="32" hidden="0" customWidth="1"/>
    <x:col min="14" max="14" width="38" hidden="0" customWidth="1"/>
    <x:col min="15" max="15" width="70" hidden="0" customWidth="1"/>
    <x:col min="16" max="16" width="38" hidden="0" customWidth="1"/>
  </x:cols>
  <x:sheetData>
    <x:row r="2">
      <x:c r="A2" s="6" t="str">
        <x:v>Upper candidate assembly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</x:row>
    <x:row r="3">
      <x:c r="A3" s="3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  <x:c r="P3" s="3"/>
    </x:row>
    <x:row r="4" ht="34" customHeight="1">
      <x:c r="A4" s="9" t="str">
        <x:v>ID</x:v>
      </x:c>
      <x:c r="B4" s="9" t="str">
        <x:v>Part / MPN</x:v>
      </x:c>
      <x:c r="C4" s="9" t="str">
        <x:v>Package</x:v>
      </x:c>
      <x:c r="D4" s="9" t="str">
        <x:v>Installed qty</x:v>
      </x:c>
      <x:c r="E4" s="9" t="str">
        <x:v>Suggested spare %</x:v>
      </x:c>
      <x:c r="F4" s="9" t="str">
        <x:v>Procurement qty</x:v>
      </x:c>
      <x:c r="G4" s="9" t="str">
        <x:v>Supply / rating</x:v>
      </x:c>
      <x:c r="H4" s="9" t="str">
        <x:v>Max current A</x:v>
      </x:c>
      <x:c r="I4" s="9" t="str">
        <x:v>IO domain</x:v>
      </x:c>
      <x:c r="J4" s="9" t="str">
        <x:v>Measured</x:v>
      </x:c>
      <x:c r="K4" s="9" t="str">
        <x:v>Package verification</x:v>
      </x:c>
      <x:c r="L4" s="9" t="str">
        <x:v>Source URL</x:v>
      </x:c>
      <x:c r="M4" s="9" t="str">
        <x:v>Supplier</x:v>
      </x:c>
      <x:c r="N4" s="9" t="str">
        <x:v>Approval</x:v>
      </x:c>
      <x:c r="O4" s="9" t="str">
        <x:v>Risk / required action</x:v>
      </x:c>
      <x:c r="P4" s="9" t="str">
        <x:v>Manufacturer</x:v>
      </x:c>
    </x:row>
    <x:row r="5" ht="52" customHeight="1">
      <x:c r="A5" s="10" t="str">
        <x:v>B-001</x:v>
      </x:c>
      <x:c r="B5" s="10" t="str">
        <x:v>NU40C10T</x:v>
      </x:c>
      <x:c r="C5" s="10" t="str">
        <x:v>THT TBD</x:v>
      </x:c>
      <x:c r="D5" s="11" t="n">
        <x:v>64</x:v>
      </x:c>
      <x:c r="E5" s="12" t="n">
        <x:v>0.1</x:v>
      </x:c>
      <x:c r="F5" s="11" t="n">
        <x:f>ROUNDUP(D5*(1+E5),0)</x:f>
        <x:v>71</x:v>
      </x:c>
      <x:c r="G5" s="10" t="str">
        <x:v>用户锁定发射器型号；供应商完整 datasheet / 焊脚尺寸尚需核实</x:v>
      </x:c>
      <x:c r="H5" s="10"/>
      <x:c r="I5" s="10" t="str">
        <x:v>3V3 ONLY if GPIO; other domains require review</x:v>
      </x:c>
      <x:c r="J5" s="10" t="str">
        <x:v>NOT_VERIFIED</x:v>
      </x:c>
      <x:c r="K5" s="10" t="str">
        <x:v>Public source only; pin1/EP/native footprint UNVERIFIED</x:v>
      </x:c>
      <x:c r="L5" s="10" t="str">
        <x:v>USER_NU40C10T_VENDOR_DATASHEET_REQUIRED</x:v>
      </x:c>
      <x:c r="M5" s="10" t="str">
        <x:v>AUTHORIZED_VENDOR_NOT_SELECTED</x:v>
      </x:c>
      <x:c r="N5" s="10" t="str">
        <x:v>NOT_APPROVED_FOR_PROCUREMENT</x:v>
      </x:c>
      <x:c r="O5" s="10" t="str">
        <x:v>Inherited candidate quantity; netlist/thermal review pending</x:v>
      </x:c>
      <x:c r="P5" s="10" t="str">
        <x:v>UNKNOWN; vendor evidence required</x:v>
      </x:c>
    </x:row>
    <x:row r="6" ht="52" customHeight="1">
      <x:c r="A6" s="10" t="str">
        <x:v>B-002</x:v>
      </x:c>
      <x:c r="B6" s="10" t="str">
        <x:v>NU40C相配RX（精确料号TBD）</x:v>
      </x:c>
      <x:c r="C6" s="10" t="str">
        <x:v>THT TBD</x:v>
      </x:c>
      <x:c r="D6" s="11" t="n">
        <x:v>4</x:v>
      </x:c>
      <x:c r="E6" s="12" t="n">
        <x:v>0.1</x:v>
      </x:c>
      <x:c r="F6" s="11" t="n">
        <x:f>ROUNDUP(D6*(1+E6),0)</x:f>
        <x:v>5</x:v>
      </x:c>
      <x:c r="G6" s="10" t="str">
        <x:v>同频匹配接收器；不得擅自把TX当RX</x:v>
      </x:c>
      <x:c r="H6" s="10"/>
      <x:c r="I6" s="10" t="str">
        <x:v>3V3 ONLY if GPIO; other domains require review</x:v>
      </x:c>
      <x:c r="J6" s="10" t="str">
        <x:v>NOT_VERIFIED</x:v>
      </x:c>
      <x:c r="K6" s="10" t="str">
        <x:v>Public source only; pin1/EP/native footprint UNVERIFIED</x:v>
      </x:c>
      <x:c r="L6" s="10" t="str">
        <x:v>https://github.com/loverlike1216/SonoField-FPGA/tree/main/v5</x:v>
      </x:c>
      <x:c r="M6" s="10" t="str">
        <x:v>AUTHORIZED_VENDOR_NOT_SELECTED</x:v>
      </x:c>
      <x:c r="N6" s="10" t="str">
        <x:v>NOT_APPROVED_FOR_PROCUREMENT</x:v>
      </x:c>
      <x:c r="O6" s="10" t="str">
        <x:v>Inherited candidate quantity; netlist/thermal review pending</x:v>
      </x:c>
      <x:c r="P6" s="10" t="str">
        <x:v>UNKNOWN; vendor evidence required</x:v>
      </x:c>
    </x:row>
    <x:row r="7" ht="52" customHeight="1">
      <x:c r="A7" s="10" t="str">
        <x:v>B-003</x:v>
      </x:c>
      <x:c r="B7" s="10" t="str">
        <x:v>TC4427AEOA713</x:v>
      </x:c>
      <x:c r="C7" s="10" t="str">
        <x:v>SOIC-8</x:v>
      </x:c>
      <x:c r="D7" s="11" t="n">
        <x:v>32</x:v>
      </x:c>
      <x:c r="E7" s="12" t="n">
        <x:v>0.1</x:v>
      </x:c>
      <x:c r="F7" s="11" t="n">
        <x:f>ROUNDUP(D7*(1+E7),0)</x:f>
        <x:v>36</x:v>
      </x:c>
      <x:c r="G7" s="10" t="str">
        <x:v>2输出/芯片；12V首轮限流调试，不是NU40C10T额定电压</x:v>
      </x:c>
      <x:c r="H7" s="10"/>
      <x:c r="I7" s="10" t="str">
        <x:v>3V3 ONLY if GPIO; other domains require review</x:v>
      </x:c>
      <x:c r="J7" s="10" t="str">
        <x:v>NOT_VERIFIED</x:v>
      </x:c>
      <x:c r="K7" s="10" t="str">
        <x:v>Public source only; pin1/EP/native footprint UNVERIFIED</x:v>
      </x:c>
      <x:c r="L7" s="10" t="str">
        <x:v>https://www.microchip.com/en-us/product/TC4427A</x:v>
      </x:c>
      <x:c r="M7" s="10" t="str">
        <x:v>AUTHORIZED_VENDOR_NOT_SELECTED</x:v>
      </x:c>
      <x:c r="N7" s="10" t="str">
        <x:v>NOT_APPROVED_FOR_PROCUREMENT</x:v>
      </x:c>
      <x:c r="O7" s="10" t="str">
        <x:v>Inherited candidate quantity; netlist/thermal review pending</x:v>
      </x:c>
      <x:c r="P7" s="10" t="str">
        <x:v>Microchip</x:v>
      </x:c>
    </x:row>
    <x:row r="8" ht="52" customHeight="1">
      <x:c r="A8" s="10" t="str">
        <x:v>B-004</x:v>
      </x:c>
      <x:c r="B8" s="10" t="str">
        <x:v>SN74LVC595APWR</x:v>
      </x:c>
      <x:c r="C8" s="10" t="str">
        <x:v>TSSOP-16</x:v>
      </x:c>
      <x:c r="D8" s="11" t="n">
        <x:v>16</x:v>
      </x:c>
      <x:c r="E8" s="12" t="n">
        <x:v>0.1</x:v>
      </x:c>
      <x:c r="F8" s="11" t="n">
        <x:f>ROUNDUP(D8*(1+E8),0)</x:f>
        <x:v>18</x:v>
      </x:c>
      <x:c r="G8" s="10" t="str">
        <x:v>每片4个有效输出；每侧16条独立串行lane</x:v>
      </x:c>
      <x:c r="H8" s="10"/>
      <x:c r="I8" s="10" t="str">
        <x:v>3V3 ONLY if GPIO; other domains require review</x:v>
      </x:c>
      <x:c r="J8" s="10" t="str">
        <x:v>NOT_VERIFIED</x:v>
      </x:c>
      <x:c r="K8" s="10" t="str">
        <x:v>Public source only; pin1/EP/native footprint UNVERIFIED</x:v>
      </x:c>
      <x:c r="L8" s="10" t="str">
        <x:v>https://www.ti.com/product/SN74LVC595A</x:v>
      </x:c>
      <x:c r="M8" s="10" t="str">
        <x:v>AUTHORIZED_VENDOR_NOT_SELECTED</x:v>
      </x:c>
      <x:c r="N8" s="10" t="str">
        <x:v>NOT_APPROVED_FOR_PROCUREMENT</x:v>
      </x:c>
      <x:c r="O8" s="10" t="str">
        <x:v>Inherited candidate quantity; netlist/thermal review pending</x:v>
      </x:c>
      <x:c r="P8" s="10" t="str">
        <x:v>Texas Instruments</x:v>
      </x:c>
    </x:row>
    <x:row r="9" ht="52" customHeight="1">
      <x:c r="A9" s="10" t="str">
        <x:v>B-005</x:v>
      </x:c>
      <x:c r="B9" s="10" t="str">
        <x:v>SN74AXC8T245PWR</x:v>
      </x:c>
      <x:c r="C9" s="10" t="str">
        <x:v>TSSOP-24</x:v>
      </x:c>
      <x:c r="D9" s="11" t="n">
        <x:v>4</x:v>
      </x:c>
      <x:c r="E9" s="12" t="n">
        <x:v>0.1</x:v>
      </x:c>
      <x:c r="F9" s="11" t="n">
        <x:f>ROUNDUP(D9*(1+E9),0)</x:f>
        <x:v>5</x:v>
      </x:c>
      <x:c r="G9" s="10" t="str">
        <x:v>VCCA/VCCB均不得大于3.6V；根据VCCO放置与计算数量</x:v>
      </x:c>
      <x:c r="H9" s="10"/>
      <x:c r="I9" s="10" t="str">
        <x:v>3V3 ONLY if GPIO; other domains require review</x:v>
      </x:c>
      <x:c r="J9" s="10" t="str">
        <x:v>NOT_VERIFIED</x:v>
      </x:c>
      <x:c r="K9" s="10" t="str">
        <x:v>Public source only; pin1/EP/native footprint UNVERIFIED</x:v>
      </x:c>
      <x:c r="L9" s="10" t="str">
        <x:v>https://www.ti.com/product/SN74AXC8T245</x:v>
      </x:c>
      <x:c r="M9" s="10" t="str">
        <x:v>AUTHORIZED_VENDOR_NOT_SELECTED</x:v>
      </x:c>
      <x:c r="N9" s="10" t="str">
        <x:v>NOT_APPROVED_FOR_PROCUREMENT</x:v>
      </x:c>
      <x:c r="O9" s="10" t="str">
        <x:v>Inherited candidate quantity; netlist/thermal review pending</x:v>
      </x:c>
      <x:c r="P9" s="10" t="str">
        <x:v>Texas Instruments</x:v>
      </x:c>
    </x:row>
    <x:row r="10" ht="52" customHeight="1">
      <x:c r="A10" s="10" t="str">
        <x:v>B-006</x:v>
      </x:c>
      <x:c r="B10" s="10" t="str">
        <x:v>SN74LVC244APWR</x:v>
      </x:c>
      <x:c r="C10" s="10" t="str">
        <x:v>TSSOP-20</x:v>
      </x:c>
      <x:c r="D10" s="11" t="n">
        <x:v>1</x:v>
      </x:c>
      <x:c r="E10" s="12" t="n">
        <x:v>0.1</x:v>
      </x:c>
      <x:c r="F10" s="11" t="n">
        <x:f>ROUNDUP(D10*(1+E10),0)</x:f>
        <x:v>2</x:v>
      </x:c>
      <x:c r="G10" s="10" t="str">
        <x:v>每阵列1颗；4路SRCLK+4路RCLK 需负载证明</x:v>
      </x:c>
      <x:c r="H10" s="10"/>
      <x:c r="I10" s="10" t="str">
        <x:v>3V3 ONLY if GPIO; other domains require review</x:v>
      </x:c>
      <x:c r="J10" s="10" t="str">
        <x:v>NOT_VERIFIED</x:v>
      </x:c>
      <x:c r="K10" s="10" t="str">
        <x:v>Public source only; pin1/EP/native footprint UNVERIFIED</x:v>
      </x:c>
      <x:c r="L10" s="10" t="str">
        <x:v>https://www.ti.com/product/SN74LVC244A</x:v>
      </x:c>
      <x:c r="M10" s="10" t="str">
        <x:v>AUTHORIZED_VENDOR_NOT_SELECTED</x:v>
      </x:c>
      <x:c r="N10" s="10" t="str">
        <x:v>NOT_APPROVED_FOR_PROCUREMENT</x:v>
      </x:c>
      <x:c r="O10" s="10" t="str">
        <x:v>Inherited candidate quantity; netlist/thermal review pending</x:v>
      </x:c>
      <x:c r="P10" s="10" t="str">
        <x:v>Texas Instruments</x:v>
      </x:c>
    </x:row>
    <x:row r="11" ht="52" customHeight="1">
      <x:c r="A11" s="10" t="str">
        <x:v>B-007</x:v>
      </x:c>
      <x:c r="B11" s="10" t="str">
        <x:v>SN74LVC1G32DBVR</x:v>
      </x:c>
      <x:c r="C11" s="10" t="str">
        <x:v>SOT-23-5</x:v>
      </x:c>
      <x:c r="D11" s="11" t="n">
        <x:v>1</x:v>
      </x:c>
      <x:c r="E11" s="12" t="n">
        <x:v>0.1</x:v>
      </x:c>
      <x:c r="F11" s="11" t="n">
        <x:f>ROUNDUP(D11*(1+E11),0)</x:f>
        <x:v>2</x:v>
      </x:c>
      <x:c r="G11" s="10" t="str">
        <x:v>OE fail-high 组合/拉起，逻辑需核验</x:v>
      </x:c>
      <x:c r="H11" s="10"/>
      <x:c r="I11" s="10" t="str">
        <x:v>3V3 ONLY if GPIO; other domains require review</x:v>
      </x:c>
      <x:c r="J11" s="10" t="str">
        <x:v>NOT_VERIFIED</x:v>
      </x:c>
      <x:c r="K11" s="10" t="str">
        <x:v>Public source only; pin1/EP/native footprint UNVERIFIED</x:v>
      </x:c>
      <x:c r="L11" s="10" t="str">
        <x:v>https://www.ti.com/product/SN74LVC1G32</x:v>
      </x:c>
      <x:c r="M11" s="10" t="str">
        <x:v>AUTHORIZED_VENDOR_NOT_SELECTED</x:v>
      </x:c>
      <x:c r="N11" s="10" t="str">
        <x:v>NOT_APPROVED_FOR_PROCUREMENT</x:v>
      </x:c>
      <x:c r="O11" s="10" t="str">
        <x:v>Inherited candidate quantity; netlist/thermal review pending</x:v>
      </x:c>
      <x:c r="P11" s="10" t="str">
        <x:v>Texas Instruments</x:v>
      </x:c>
    </x:row>
    <x:row r="12" ht="52" customHeight="1">
      <x:c r="A12" s="10" t="str">
        <x:v>B-008</x:v>
      </x:c>
      <x:c r="B12" s="10" t="str">
        <x:v>TLV803 / TPS3839 类（需定料）</x:v>
      </x:c>
      <x:c r="C12" s="10" t="str">
        <x:v>SOT-23 TBD</x:v>
      </x:c>
      <x:c r="D12" s="11" t="n">
        <x:v>1</x:v>
      </x:c>
      <x:c r="E12" s="12" t="n">
        <x:v>0.1</x:v>
      </x:c>
      <x:c r="F12" s="11" t="n">
        <x:f>ROUNDUP(D12*(1+E12),0)</x:f>
        <x:v>2</x:v>
      </x:c>
      <x:c r="G12" s="10" t="str">
        <x:v>监测各板本地3.3V；独立硬件复位/禁能</x:v>
      </x:c>
      <x:c r="H12" s="10"/>
      <x:c r="I12" s="10" t="str">
        <x:v>3V3 ONLY if GPIO; other domains require review</x:v>
      </x:c>
      <x:c r="J12" s="10" t="str">
        <x:v>NOT_VERIFIED</x:v>
      </x:c>
      <x:c r="K12" s="10" t="str">
        <x:v>Public source only; pin1/EP/native footprint UNVERIFIED</x:v>
      </x:c>
      <x:c r="L12" s="10" t="str">
        <x:v>https://www.ti.com/product/TPS3839</x:v>
      </x:c>
      <x:c r="M12" s="10" t="str">
        <x:v>AUTHORIZED_VENDOR_NOT_SELECTED</x:v>
      </x:c>
      <x:c r="N12" s="10" t="str">
        <x:v>NOT_APPROVED_FOR_PROCUREMENT</x:v>
      </x:c>
      <x:c r="O12" s="10" t="str">
        <x:v>Inherited candidate quantity; netlist/thermal review pending</x:v>
      </x:c>
      <x:c r="P12" s="10" t="str">
        <x:v>Texas Instruments</x:v>
      </x:c>
    </x:row>
    <x:row r="13" ht="52" customHeight="1">
      <x:c r="A13" s="10" t="str">
        <x:v>B-009</x:v>
      </x:c>
      <x:c r="B13" s="10" t="str">
        <x:v>TPS3430 类（需定料）</x:v>
      </x:c>
      <x:c r="C13" s="10" t="str">
        <x:v>TBD</x:v>
      </x:c>
      <x:c r="D13" s="11" t="n">
        <x:v>1</x:v>
      </x:c>
      <x:c r="E13" s="12" t="n">
        <x:v>0.1</x:v>
      </x:c>
      <x:c r="F13" s="11" t="n">
        <x:f>ROUNDUP(D13*(1+E13),0)</x:f>
        <x:v>2</x:v>
      </x:c>
      <x:c r="G13" s="10" t="str">
        <x:v>EN必须由本地心跳与PGOOD共同允许；不可仅FPGA软件控制</x:v>
      </x:c>
      <x:c r="H13" s="10"/>
      <x:c r="I13" s="10" t="str">
        <x:v>3V3 ONLY if GPIO; other domains require review</x:v>
      </x:c>
      <x:c r="J13" s="10" t="str">
        <x:v>NOT_VERIFIED</x:v>
      </x:c>
      <x:c r="K13" s="10" t="str">
        <x:v>Public source only; pin1/EP/native footprint UNVERIFIED</x:v>
      </x:c>
      <x:c r="L13" s="10" t="str">
        <x:v>https://www.ti.com/product/TPS3430</x:v>
      </x:c>
      <x:c r="M13" s="10" t="str">
        <x:v>AUTHORIZED_VENDOR_NOT_SELECTED</x:v>
      </x:c>
      <x:c r="N13" s="10" t="str">
        <x:v>NOT_APPROVED_FOR_PROCUREMENT</x:v>
      </x:c>
      <x:c r="O13" s="10" t="str">
        <x:v>Inherited candidate quantity; netlist/thermal review pending</x:v>
      </x:c>
      <x:c r="P13" s="10" t="str">
        <x:v>Texas Instruments</x:v>
      </x:c>
    </x:row>
    <x:row r="14" ht="52" customHeight="1">
      <x:c r="A14" s="10" t="str">
        <x:v>B-010</x:v>
      </x:c>
      <x:c r="B14" s="10" t="str">
        <x:v>TMUX1574PWR</x:v>
      </x:c>
      <x:c r="C14" s="10" t="str">
        <x:v>TSSOP-16</x:v>
      </x:c>
      <x:c r="D14" s="11" t="n">
        <x:v>1</x:v>
      </x:c>
      <x:c r="E14" s="12" t="n">
        <x:v>0.1</x:v>
      </x:c>
      <x:c r="F14" s="11" t="n">
        <x:f>ROUNDUP(D14*(1+E14),0)</x:f>
        <x:v>2</x:v>
      </x:c>
      <x:c r="G14" s="10" t="str">
        <x:v>每板4 RX通道；空白期切到静态偏置</x:v>
      </x:c>
      <x:c r="H14" s="10"/>
      <x:c r="I14" s="10" t="str">
        <x:v>3V3 ONLY if GPIO; other domains require review</x:v>
      </x:c>
      <x:c r="J14" s="10" t="str">
        <x:v>NOT_VERIFIED</x:v>
      </x:c>
      <x:c r="K14" s="10" t="str">
        <x:v>Public source only; pin1/EP/native footprint UNVERIFIED</x:v>
      </x:c>
      <x:c r="L14" s="10" t="str">
        <x:v>https://www.ti.com/product/TMUX1574</x:v>
      </x:c>
      <x:c r="M14" s="10" t="str">
        <x:v>AUTHORIZED_VENDOR_NOT_SELECTED</x:v>
      </x:c>
      <x:c r="N14" s="10" t="str">
        <x:v>NOT_APPROVED_FOR_PROCUREMENT</x:v>
      </x:c>
      <x:c r="O14" s="10" t="str">
        <x:v>Inherited candidate quantity; netlist/thermal review pending</x:v>
      </x:c>
      <x:c r="P14" s="10" t="str">
        <x:v>Texas Instruments</x:v>
      </x:c>
    </x:row>
    <x:row r="15" ht="52" customHeight="1">
      <x:c r="A15" s="10" t="str">
        <x:v>B-011</x:v>
      </x:c>
      <x:c r="B15" s="10" t="str">
        <x:v>OPA4192IPWR</x:v>
      </x:c>
      <x:c r="C15" s="10" t="str">
        <x:v>TSSOP-14</x:v>
      </x:c>
      <x:c r="D15" s="11" t="n">
        <x:v>2</x:v>
      </x:c>
      <x:c r="E15" s="12" t="n">
        <x:v>0.1</x:v>
      </x:c>
      <x:c r="F15" s="11" t="n">
        <x:f>ROUNDUP(D15*(1+E15),0)</x:f>
        <x:v>3</x:v>
      </x:c>
      <x:c r="G15" s="10" t="str">
        <x:v>每个RX两级，合计16运放单元</x:v>
      </x:c>
      <x:c r="H15" s="10"/>
      <x:c r="I15" s="10" t="str">
        <x:v>3V3 ONLY if GPIO; other domains require review</x:v>
      </x:c>
      <x:c r="J15" s="10" t="str">
        <x:v>NOT_VERIFIED</x:v>
      </x:c>
      <x:c r="K15" s="10" t="str">
        <x:v>Public source only; pin1/EP/native footprint UNVERIFIED</x:v>
      </x:c>
      <x:c r="L15" s="10" t="str">
        <x:v>https://www.ti.com/product/OPA4192</x:v>
      </x:c>
      <x:c r="M15" s="10" t="str">
        <x:v>AUTHORIZED_VENDOR_NOT_SELECTED</x:v>
      </x:c>
      <x:c r="N15" s="10" t="str">
        <x:v>NOT_APPROVED_FOR_PROCUREMENT</x:v>
      </x:c>
      <x:c r="O15" s="10" t="str">
        <x:v>Inherited candidate quantity; netlist/thermal review pending</x:v>
      </x:c>
      <x:c r="P15" s="10" t="str">
        <x:v>Texas Instruments</x:v>
      </x:c>
    </x:row>
    <x:row r="16" ht="52" customHeight="1">
      <x:c r="A16" s="10" t="str">
        <x:v>B-012</x:v>
      </x:c>
      <x:c r="B16" s="10" t="str">
        <x:v>REF5025AIDR</x:v>
      </x:c>
      <x:c r="C16" s="10" t="str">
        <x:v>SOIC-8</x:v>
      </x:c>
      <x:c r="D16" s="11" t="n">
        <x:v>1</x:v>
      </x:c>
      <x:c r="E16" s="12" t="n">
        <x:v>0.1</x:v>
      </x:c>
      <x:c r="F16" s="11" t="n">
        <x:f>ROUNDUP(D16*(1+E16),0)</x:f>
        <x:v>2</x:v>
      </x:c>
      <x:c r="G16" s="10" t="str">
        <x:v>各板一颗；ADC内部基准另按AD7606B约束</x:v>
      </x:c>
      <x:c r="H16" s="10"/>
      <x:c r="I16" s="10" t="str">
        <x:v>3V3 ONLY if GPIO; other domains require review</x:v>
      </x:c>
      <x:c r="J16" s="10" t="str">
        <x:v>NOT_VERIFIED</x:v>
      </x:c>
      <x:c r="K16" s="10" t="str">
        <x:v>Public source only; pin1/EP/native footprint UNVERIFIED</x:v>
      </x:c>
      <x:c r="L16" s="10" t="str">
        <x:v>https://www.ti.com/product/REF5025</x:v>
      </x:c>
      <x:c r="M16" s="10" t="str">
        <x:v>AUTHORIZED_VENDOR_NOT_SELECTED</x:v>
      </x:c>
      <x:c r="N16" s="10" t="str">
        <x:v>NOT_APPROVED_FOR_PROCUREMENT</x:v>
      </x:c>
      <x:c r="O16" s="10" t="str">
        <x:v>Inherited candidate quantity; netlist/thermal review pending</x:v>
      </x:c>
      <x:c r="P16" s="10" t="str">
        <x:v>Texas Instruments</x:v>
      </x:c>
    </x:row>
    <x:row r="17" ht="52" customHeight="1">
      <x:c r="A17" s="10" t="str">
        <x:v>B-013</x:v>
      </x:c>
      <x:c r="B17" s="10" t="str">
        <x:v>BAT54S</x:v>
      </x:c>
      <x:c r="C17" s="10" t="str">
        <x:v>SOT-23</x:v>
      </x:c>
      <x:c r="D17" s="11" t="n">
        <x:v>4</x:v>
      </x:c>
      <x:c r="E17" s="12" t="n">
        <x:v>0.1</x:v>
      </x:c>
      <x:c r="F17" s="11" t="n">
        <x:f>ROUNDUP(D17*(1+E17),0)</x:f>
        <x:v>5</x:v>
      </x:c>
      <x:c r="G17" s="10" t="str">
        <x:v>每RX一路</x:v>
      </x:c>
      <x:c r="H17" s="10"/>
      <x:c r="I17" s="10" t="str">
        <x:v>3V3 ONLY if GPIO; other domains require review</x:v>
      </x:c>
      <x:c r="J17" s="10" t="str">
        <x:v>NOT_VERIFIED</x:v>
      </x:c>
      <x:c r="K17" s="10" t="str">
        <x:v>Public source only; pin1/EP/native footprint UNVERIFIED</x:v>
      </x:c>
      <x:c r="L17" s="10" t="str">
        <x:v>https://www.lcsc.com</x:v>
      </x:c>
      <x:c r="M17" s="10" t="str">
        <x:v>AUTHORIZED_VENDOR_NOT_SELECTED</x:v>
      </x:c>
      <x:c r="N17" s="10" t="str">
        <x:v>NOT_APPROVED_FOR_PROCUREMENT</x:v>
      </x:c>
      <x:c r="O17" s="10" t="str">
        <x:v>Inherited candidate quantity; netlist/thermal review pending</x:v>
      </x:c>
      <x:c r="P17" s="10" t="str">
        <x:v>UNKNOWN; vendor evidence required</x:v>
      </x:c>
    </x:row>
    <x:row r="18" ht="52" customHeight="1">
      <x:c r="A18" s="10" t="str">
        <x:v>B-018</x:v>
      </x:c>
      <x:c r="B18" s="10" t="str">
        <x:v>XT30PW-M30.G.Y</x:v>
      </x:c>
      <x:c r="C18" s="10" t="str">
        <x:v>THT</x:v>
      </x:c>
      <x:c r="D18" s="11" t="n">
        <x:v>1</x:v>
      </x:c>
      <x:c r="E18" s="12" t="n">
        <x:v>0.1</x:v>
      </x:c>
      <x:c r="F18" s="11" t="n">
        <x:f>ROUNDUP(D18*(1+E18),0)</x:f>
        <x:v>2</x:v>
      </x:c>
      <x:c r="G18" s="10" t="str">
        <x:v>每阵列专属PWR_UP_IN/PWR_LO_IN；不得从J10/J11取功率</x:v>
      </x:c>
      <x:c r="H18" s="10"/>
      <x:c r="I18" s="10" t="str">
        <x:v>3V3 ONLY if GPIO; other domains require review</x:v>
      </x:c>
      <x:c r="J18" s="10" t="str">
        <x:v>NOT_VERIFIED</x:v>
      </x:c>
      <x:c r="K18" s="10" t="str">
        <x:v>Public source only; pin1/EP/native footprint UNVERIFIED</x:v>
      </x:c>
      <x:c r="L18" s="10" t="str">
        <x:v>https://www.lcsc.com</x:v>
      </x:c>
      <x:c r="M18" s="10" t="str">
        <x:v>AUTHORIZED_VENDOR_NOT_SELECTED</x:v>
      </x:c>
      <x:c r="N18" s="10" t="str">
        <x:v>NOT_APPROVED_FOR_PROCUREMENT</x:v>
      </x:c>
      <x:c r="O18" s="10" t="str">
        <x:v>Inherited candidate quantity; netlist/thermal review pending</x:v>
      </x:c>
      <x:c r="P18" s="10" t="str">
        <x:v>UNKNOWN; vendor evidence required</x:v>
      </x:c>
    </x:row>
    <x:row r="19" ht="52" customHeight="1">
      <x:c r="A19" s="10" t="str">
        <x:v>B-020</x:v>
      </x:c>
      <x:c r="B19" s="10" t="str">
        <x:v>TPS259470LRPWR</x:v>
      </x:c>
      <x:c r="C19" s="10" t="str">
        <x:v>VQFN-10</x:v>
      </x:c>
      <x:c r="D19" s="11" t="n">
        <x:v>1</x:v>
      </x:c>
      <x:c r="E19" s="12" t="n">
        <x:v>0.1</x:v>
      </x:c>
      <x:c r="F19" s="11" t="n">
        <x:f>ROUNDUP(D19*(1+E19),0)</x:f>
        <x:v>2</x:v>
      </x:c>
      <x:c r="G19" s="10" t="str">
        <x:v>三路电源各自配置ILIM/OVLO；历史2A只是候选</x:v>
      </x:c>
      <x:c r="H19" s="10"/>
      <x:c r="I19" s="10" t="str">
        <x:v>3V3 ONLY if GPIO; other domains require review</x:v>
      </x:c>
      <x:c r="J19" s="10" t="str">
        <x:v>NOT_VERIFIED</x:v>
      </x:c>
      <x:c r="K19" s="10" t="str">
        <x:v>Public source only; pin1/EP/native footprint UNVERIFIED</x:v>
      </x:c>
      <x:c r="L19" s="10" t="str">
        <x:v>https://www.ti.com/product/TPS25947</x:v>
      </x:c>
      <x:c r="M19" s="10" t="str">
        <x:v>AUTHORIZED_VENDOR_NOT_SELECTED</x:v>
      </x:c>
      <x:c r="N19" s="10" t="str">
        <x:v>NOT_APPROVED_FOR_PROCUREMENT</x:v>
      </x:c>
      <x:c r="O19" s="10" t="str">
        <x:v>Inherited candidate quantity; netlist/thermal review pending</x:v>
      </x:c>
      <x:c r="P19" s="10" t="str">
        <x:v>Texas Instruments</x:v>
      </x:c>
    </x:row>
    <x:row r="20" ht="52" customHeight="1">
      <x:c r="A20" s="10" t="str">
        <x:v>B-021</x:v>
      </x:c>
      <x:c r="B20" s="10" t="str">
        <x:v>INA226AIDGSR</x:v>
      </x:c>
      <x:c r="C20" s="10" t="str">
        <x:v>VSSOP-10</x:v>
      </x:c>
      <x:c r="D20" s="11" t="n">
        <x:v>1</x:v>
      </x:c>
      <x:c r="E20" s="12" t="n">
        <x:v>0.1</x:v>
      </x:c>
      <x:c r="F20" s="11" t="n">
        <x:f>ROUNDUP(D20*(1+E20),0)</x:f>
        <x:v>2</x:v>
      </x:c>
      <x:c r="G20" s="10" t="str">
        <x:v>两阵列+中央各一颗，shunt实际功耗需核算</x:v>
      </x:c>
      <x:c r="H20" s="10"/>
      <x:c r="I20" s="10" t="str">
        <x:v>3V3 ONLY if GPIO; other domains require review</x:v>
      </x:c>
      <x:c r="J20" s="10" t="str">
        <x:v>NOT_VERIFIED</x:v>
      </x:c>
      <x:c r="K20" s="10" t="str">
        <x:v>Public source only; pin1/EP/native footprint UNVERIFIED</x:v>
      </x:c>
      <x:c r="L20" s="10" t="str">
        <x:v>https://www.ti.com/product/INA226</x:v>
      </x:c>
      <x:c r="M20" s="10" t="str">
        <x:v>AUTHORIZED_VENDOR_NOT_SELECTED</x:v>
      </x:c>
      <x:c r="N20" s="10" t="str">
        <x:v>NOT_APPROVED_FOR_PROCUREMENT</x:v>
      </x:c>
      <x:c r="O20" s="10" t="str">
        <x:v>Inherited candidate quantity; netlist/thermal review pending</x:v>
      </x:c>
      <x:c r="P20" s="10" t="str">
        <x:v>Texas Instruments</x:v>
      </x:c>
    </x:row>
    <x:row r="21" ht="52" customHeight="1">
      <x:c r="A21" s="10" t="str">
        <x:v>B-022</x:v>
      </x:c>
      <x:c r="B21" s="10" t="str">
        <x:v>20mΩ 2512 1% 2W</x:v>
      </x:c>
      <x:c r="C21" s="10" t="str">
        <x:v>2512</x:v>
      </x:c>
      <x:c r="D21" s="11" t="n">
        <x:v>1</x:v>
      </x:c>
      <x:c r="E21" s="12" t="n">
        <x:v>0.1</x:v>
      </x:c>
      <x:c r="F21" s="11" t="n">
        <x:f>ROUNDUP(D21*(1+E21),0)</x:f>
        <x:v>2</x:v>
      </x:c>
      <x:c r="G21" s="10" t="str">
        <x:v>20mΩ：INA226电流测量满量程约±4.096A</x:v>
      </x:c>
      <x:c r="H21" s="10"/>
      <x:c r="I21" s="10" t="str">
        <x:v>3V3 ONLY if GPIO; other domains require review</x:v>
      </x:c>
      <x:c r="J21" s="10" t="str">
        <x:v>NOT_VERIFIED</x:v>
      </x:c>
      <x:c r="K21" s="10" t="str">
        <x:v>Public source only; pin1/EP/native footprint UNVERIFIED</x:v>
      </x:c>
      <x:c r="L21" s="10" t="str">
        <x:v>https://www.lcsc.com</x:v>
      </x:c>
      <x:c r="M21" s="10" t="str">
        <x:v>AUTHORIZED_VENDOR_NOT_SELECTED</x:v>
      </x:c>
      <x:c r="N21" s="10" t="str">
        <x:v>NOT_APPROVED_FOR_PROCUREMENT</x:v>
      </x:c>
      <x:c r="O21" s="10" t="str">
        <x:v>Inherited candidate quantity; netlist/thermal review pending</x:v>
      </x:c>
      <x:c r="P21" s="10" t="str">
        <x:v>UNKNOWN; vendor evidence required</x:v>
      </x:c>
    </x:row>
    <x:row r="22" ht="52" customHeight="1">
      <x:c r="A22" s="10" t="str">
        <x:v>B-023</x:v>
      </x:c>
      <x:c r="B22" s="10" t="str">
        <x:v>SMBJ20A 类</x:v>
      </x:c>
      <x:c r="C22" s="10" t="str">
        <x:v>SMB</x:v>
      </x:c>
      <x:c r="D22" s="11" t="n">
        <x:v>1</x:v>
      </x:c>
      <x:c r="E22" s="12" t="n">
        <x:v>0.1</x:v>
      </x:c>
      <x:c r="F22" s="11" t="n">
        <x:f>ROUNDUP(D22*(1+E22),0)</x:f>
        <x:v>2</x:v>
      </x:c>
      <x:c r="G22" s="10" t="str">
        <x:v>SMBJ20A候选撤销释放；32.4V钳位高于eFuse28V abs max</x:v>
      </x:c>
      <x:c r="H22" s="10"/>
      <x:c r="I22" s="10" t="str">
        <x:v>3V3 ONLY if GPIO; other domains require review</x:v>
      </x:c>
      <x:c r="J22" s="10" t="str">
        <x:v>NOT_VERIFIED</x:v>
      </x:c>
      <x:c r="K22" s="10" t="str">
        <x:v>Public source only; pin1/EP/native footprint UNVERIFIED</x:v>
      </x:c>
      <x:c r="L22" s="10" t="str">
        <x:v>https://www.littelfuse.com/products/tvs-diodes/smbj.aspx</x:v>
      </x:c>
      <x:c r="M22" s="10" t="str">
        <x:v>AUTHORIZED_VENDOR_NOT_SELECTED</x:v>
      </x:c>
      <x:c r="N22" s="10" t="str">
        <x:v>NOT_APPROVED_FOR_PROCUREMENT</x:v>
      </x:c>
      <x:c r="O22" s="10" t="str">
        <x:v>SMBJ20A protection coordination OPEN; cannot release</x:v>
      </x:c>
      <x:c r="P22" s="10" t="str">
        <x:v>UNKNOWN; vendor evidence required</x:v>
      </x:c>
    </x:row>
    <x:row r="23" ht="52" customHeight="1">
      <x:c r="A23" s="10" t="str">
        <x:v>B-024</x:v>
      </x:c>
      <x:c r="B23" s="10" t="str">
        <x:v>2A 慢断候选，具体值TBD</x:v>
      </x:c>
      <x:c r="C23" s="10" t="str">
        <x:v>TBD</x:v>
      </x:c>
      <x:c r="D23" s="11" t="n">
        <x:v>1</x:v>
      </x:c>
      <x:c r="E23" s="12" t="n">
        <x:v>0.1</x:v>
      </x:c>
      <x:c r="F23" s="11" t="n">
        <x:f>ROUNDUP(D23*(1+E23),0)</x:f>
        <x:v>2</x:v>
      </x:c>
      <x:c r="G23" s="10" t="str">
        <x:v>3路/需按实测峰值选值</x:v>
      </x:c>
      <x:c r="H23" s="10"/>
      <x:c r="I23" s="10" t="str">
        <x:v>3V3 ONLY if GPIO; other domains require review</x:v>
      </x:c>
      <x:c r="J23" s="10" t="str">
        <x:v>NOT_VERIFIED</x:v>
      </x:c>
      <x:c r="K23" s="10" t="str">
        <x:v>Public source only; pin1/EP/native footprint UNVERIFIED</x:v>
      </x:c>
      <x:c r="L23" s="10" t="str">
        <x:v>https://www.lcsc.com</x:v>
      </x:c>
      <x:c r="M23" s="10" t="str">
        <x:v>AUTHORIZED_VENDOR_NOT_SELECTED</x:v>
      </x:c>
      <x:c r="N23" s="10" t="str">
        <x:v>NOT_APPROVED_FOR_PROCUREMENT</x:v>
      </x:c>
      <x:c r="O23" s="10" t="str">
        <x:v>Inherited candidate quantity; netlist/thermal review pending</x:v>
      </x:c>
      <x:c r="P23" s="10" t="str">
        <x:v>UNKNOWN; vendor evidence required</x:v>
      </x:c>
    </x:row>
    <x:row r="24" ht="52" customHeight="1">
      <x:c r="A24" s="10" t="str">
        <x:v>B-025</x:v>
      </x:c>
      <x:c r="B24" s="10" t="str">
        <x:v>E-STOP接口 + NC触点/继电开关待定</x:v>
      </x:c>
      <x:c r="C24" s="10" t="str">
        <x:v>TBD</x:v>
      </x:c>
      <x:c r="D24" s="11" t="n">
        <x:v>1</x:v>
      </x:c>
      <x:c r="E24" s="12" t="n">
        <x:v>0.1</x:v>
      </x:c>
      <x:c r="F24" s="11" t="n">
        <x:f>ROUNDUP(D24*(1+E24),0)</x:f>
        <x:v>2</x:v>
      </x:c>
      <x:c r="G24" s="10" t="str">
        <x:v>硬件切断driver enable或电源域，二选一/组合实测</x:v>
      </x:c>
      <x:c r="H24" s="10"/>
      <x:c r="I24" s="10" t="str">
        <x:v>3V3 ONLY if GPIO; other domains require review</x:v>
      </x:c>
      <x:c r="J24" s="10" t="str">
        <x:v>NOT_VERIFIED</x:v>
      </x:c>
      <x:c r="K24" s="10" t="str">
        <x:v>Public source only; pin1/EP/native footprint UNVERIFIED</x:v>
      </x:c>
      <x:c r="L24" s="10" t="str">
        <x:v>https://www.ti.com/product/TPS25947</x:v>
      </x:c>
      <x:c r="M24" s="10" t="str">
        <x:v>AUTHORIZED_VENDOR_NOT_SELECTED</x:v>
      </x:c>
      <x:c r="N24" s="10" t="str">
        <x:v>NOT_APPROVED_FOR_PROCUREMENT</x:v>
      </x:c>
      <x:c r="O24" s="10" t="str">
        <x:v>Inherited candidate quantity; netlist/thermal review pending</x:v>
      </x:c>
      <x:c r="P24" s="10" t="str">
        <x:v>Texas Instruments</x:v>
      </x:c>
    </x:row>
    <x:row r="25" ht="52" customHeight="1">
      <x:c r="A25" s="10" t="str">
        <x:v>B-026</x:v>
      </x:c>
      <x:c r="B25" s="10" t="str">
        <x:v>开漏/拉升/隔离网络 TBD</x:v>
      </x:c>
      <x:c r="C25" s="10" t="str">
        <x:v>离散</x:v>
      </x:c>
      <x:c r="D25" s="11" t="n">
        <x:v>1</x:v>
      </x:c>
      <x:c r="E25" s="12" t="n">
        <x:v>0.1</x:v>
      </x:c>
      <x:c r="F25" s="11" t="n">
        <x:f>ROUNDUP(D25*(1+E25),0)</x:f>
        <x:v>2</x:v>
      </x:c>
      <x:c r="G25" s="10" t="str">
        <x:v>每板输出LOCAL_PGOOD/LOCAL_FAULT</x:v>
      </x:c>
      <x:c r="H25" s="10"/>
      <x:c r="I25" s="10" t="str">
        <x:v>3V3 ONLY if GPIO; other domains require review</x:v>
      </x:c>
      <x:c r="J25" s="10" t="str">
        <x:v>NOT_VERIFIED</x:v>
      </x:c>
      <x:c r="K25" s="10" t="str">
        <x:v>Public source only; pin1/EP/native footprint UNVERIFIED</x:v>
      </x:c>
      <x:c r="L25" s="10" t="str">
        <x:v>https://www.ti.com/product/SN74AXC8T245</x:v>
      </x:c>
      <x:c r="M25" s="10" t="str">
        <x:v>AUTHORIZED_VENDOR_NOT_SELECTED</x:v>
      </x:c>
      <x:c r="N25" s="10" t="str">
        <x:v>NOT_APPROVED_FOR_PROCUREMENT</x:v>
      </x:c>
      <x:c r="O25" s="10" t="str">
        <x:v>Inherited candidate quantity; netlist/thermal review pending</x:v>
      </x:c>
      <x:c r="P25" s="10" t="str">
        <x:v>Texas Instruments</x:v>
      </x:c>
    </x:row>
    <x:row r="26" ht="52" customHeight="1">
      <x:c r="A26" s="10" t="str">
        <x:v>B-027</x:v>
      </x:c>
      <x:c r="B26" s="10" t="str">
        <x:v>AP63203WU-7</x:v>
      </x:c>
      <x:c r="C26" s="10" t="str">
        <x:v>TSOT-26</x:v>
      </x:c>
      <x:c r="D26" s="11" t="n">
        <x:v>1</x:v>
      </x:c>
      <x:c r="E26" s="12" t="n">
        <x:v>0.1</x:v>
      </x:c>
      <x:c r="F26" s="11" t="n">
        <x:f>ROUNDUP(D26*(1+E26),0)</x:f>
        <x:v>2</x:v>
      </x:c>
      <x:c r="G26" s="10" t="str">
        <x:v>每板12V→3.3V；负载核验</x:v>
      </x:c>
      <x:c r="H26" s="10"/>
      <x:c r="I26" s="10" t="str">
        <x:v>3V3 ONLY if GPIO; other domains require review</x:v>
      </x:c>
      <x:c r="J26" s="10" t="str">
        <x:v>NOT_VERIFIED</x:v>
      </x:c>
      <x:c r="K26" s="10" t="str">
        <x:v>Public source only; pin1/EP/native footprint UNVERIFIED</x:v>
      </x:c>
      <x:c r="L26" s="10" t="str">
        <x:v>https://www.diodes.com/part/view/AP63203</x:v>
      </x:c>
      <x:c r="M26" s="10" t="str">
        <x:v>AUTHORIZED_VENDOR_NOT_SELECTED</x:v>
      </x:c>
      <x:c r="N26" s="10" t="str">
        <x:v>NOT_APPROVED_FOR_PROCUREMENT</x:v>
      </x:c>
      <x:c r="O26" s="10" t="str">
        <x:v>No central12V supply/converter or5V-to5V LDO headroom; central header budget HOLD</x:v>
      </x:c>
      <x:c r="P26" s="10" t="str">
        <x:v>UNKNOWN; vendor evidence required</x:v>
      </x:c>
    </x:row>
    <x:row r="27" ht="52" customHeight="1">
      <x:c r="A27" s="10" t="str">
        <x:v>B-028</x:v>
      </x:c>
      <x:c r="B27" s="10" t="str">
        <x:v>AP63200WU-7</x:v>
      </x:c>
      <x:c r="C27" s="10" t="str">
        <x:v>TSOT-26</x:v>
      </x:c>
      <x:c r="D27" s="11" t="n">
        <x:v>1</x:v>
      </x:c>
      <x:c r="E27" s="12" t="n">
        <x:v>0.1</x:v>
      </x:c>
      <x:c r="F27" s="11" t="n">
        <x:f>ROUNDUP(D27*(1+E27),0)</x:f>
        <x:v>2</x:v>
      </x:c>
      <x:c r="G27" s="10" t="str">
        <x:v>5.5V预稳压+5V LDO；按实际负载核验</x:v>
      </x:c>
      <x:c r="H27" s="10"/>
      <x:c r="I27" s="10" t="str">
        <x:v>3V3 ONLY if GPIO; other domains require review</x:v>
      </x:c>
      <x:c r="J27" s="10" t="str">
        <x:v>NOT_VERIFIED</x:v>
      </x:c>
      <x:c r="K27" s="10" t="str">
        <x:v>Public source only; pin1/EP/native footprint UNVERIFIED</x:v>
      </x:c>
      <x:c r="L27" s="10" t="str">
        <x:v>https://www.diodes.com/part/view/AP63200</x:v>
      </x:c>
      <x:c r="M27" s="10" t="str">
        <x:v>AUTHORIZED_VENDOR_NOT_SELECTED</x:v>
      </x:c>
      <x:c r="N27" s="10" t="str">
        <x:v>NOT_APPROVED_FOR_PROCUREMENT</x:v>
      </x:c>
      <x:c r="O27" s="10" t="str">
        <x:v>No central12V supply/converter or5V-to5V LDO headroom; central header budget HOLD</x:v>
      </x:c>
      <x:c r="P27" s="10" t="str">
        <x:v>UNKNOWN; vendor evidence required</x:v>
      </x:c>
    </x:row>
    <x:row r="28" ht="52" customHeight="1">
      <x:c r="A28" s="10" t="str">
        <x:v>B-029</x:v>
      </x:c>
      <x:c r="B28" s="10" t="str">
        <x:v>ADP7118ACPZN5.0-R7</x:v>
      </x:c>
      <x:c r="C28" s="10" t="str">
        <x:v>LFCSP-6 / CP-6-3 (EP=GND)</x:v>
      </x:c>
      <x:c r="D28" s="11" t="n">
        <x:v>1</x:v>
      </x:c>
      <x:c r="E28" s="12" t="n">
        <x:v>0.1</x:v>
      </x:c>
      <x:c r="F28" s="11" t="n">
        <x:f>ROUNDUP(D28*(1+E28),0)</x:f>
        <x:v>2</x:v>
      </x:c>
      <x:c r="G28" s="10" t="str">
        <x:v>输出能力/热耗按精确封装与Iload审核</x:v>
      </x:c>
      <x:c r="H28" s="10"/>
      <x:c r="I28" s="10" t="str">
        <x:v>3V3 ONLY if GPIO; other domains require review</x:v>
      </x:c>
      <x:c r="J28" s="10" t="str">
        <x:v>NOT_VERIFIED</x:v>
      </x:c>
      <x:c r="K28" s="10" t="str">
        <x:v>Public source only; pin1/EP/native footprint UNVERIFIED</x:v>
      </x:c>
      <x:c r="L28" s="10" t="str">
        <x:v>https://www.analog.com/en/products/adp7118.html</x:v>
      </x:c>
      <x:c r="M28" s="10" t="str">
        <x:v>AUTHORIZED_VENDOR_NOT_SELECTED</x:v>
      </x:c>
      <x:c r="N28" s="10" t="str">
        <x:v>NOT_APPROVED_FOR_PROCUREMENT</x:v>
      </x:c>
      <x:c r="O28" s="10" t="str">
        <x:v>No central12V supply/converter or5V-to5V LDO headroom; central header budget HOLD</x:v>
      </x:c>
      <x:c r="P28" s="10" t="str">
        <x:v>Analog Devices</x:v>
      </x:c>
    </x:row>
    <x:row r="29" ht="52" customHeight="1">
      <x:c r="A29" s="10" t="str">
        <x:v>B-030</x:v>
      </x:c>
      <x:c r="B29" s="10" t="str">
        <x:v>6.8µH ≥5A 候选</x:v>
      </x:c>
      <x:c r="C29" s="10" t="str">
        <x:v>SMD</x:v>
      </x:c>
      <x:c r="D29" s="11" t="n">
        <x:v>2</x:v>
      </x:c>
      <x:c r="E29" s="12" t="n">
        <x:v>0.1</x:v>
      </x:c>
      <x:c r="F29" s="11" t="n">
        <x:f>ROUNDUP(D29*(1+E29),0)</x:f>
        <x:v>3</x:v>
      </x:c>
      <x:c r="G29" s="10" t="str">
        <x:v>两路buck每板2颗</x:v>
      </x:c>
      <x:c r="H29" s="10"/>
      <x:c r="I29" s="10" t="str">
        <x:v>3V3 ONLY if GPIO; other domains require review</x:v>
      </x:c>
      <x:c r="J29" s="10" t="str">
        <x:v>NOT_VERIFIED</x:v>
      </x:c>
      <x:c r="K29" s="10" t="str">
        <x:v>Public source only; pin1/EP/native footprint UNVERIFIED</x:v>
      </x:c>
      <x:c r="L29" s="10" t="str">
        <x:v>https://www.diodes.com/part/view/AP63203</x:v>
      </x:c>
      <x:c r="M29" s="10" t="str">
        <x:v>AUTHORIZED_VENDOR_NOT_SELECTED</x:v>
      </x:c>
      <x:c r="N29" s="10" t="str">
        <x:v>NOT_APPROVED_FOR_PROCUREMENT</x:v>
      </x:c>
      <x:c r="O29" s="10" t="str">
        <x:v>No central12V supply/converter or5V-to5V LDO headroom; central header budget HOLD</x:v>
      </x:c>
      <x:c r="P29" s="10" t="str">
        <x:v>UNKNOWN; vendor evidence required</x:v>
      </x:c>
    </x:row>
    <x:row r="30" ht="52" customHeight="1">
      <x:c r="A30" s="10" t="str">
        <x:v>B-031</x:v>
      </x:c>
      <x:c r="B30" s="10" t="str">
        <x:v>BLM21PG221SN1D</x:v>
      </x:c>
      <x:c r="C30" s="10" t="str">
        <x:v>0805</x:v>
      </x:c>
      <x:c r="D30" s="11" t="n">
        <x:v>1</x:v>
      </x:c>
      <x:c r="E30" s="12" t="n">
        <x:v>0.1</x:v>
      </x:c>
      <x:c r="F30" s="11" t="n">
        <x:f>ROUNDUP(D30*(1+E30),0)</x:f>
        <x:v>2</x:v>
      </x:c>
      <x:c r="G30" s="10" t="str">
        <x:v>220Ω@100MHz / 2A 标称候选</x:v>
      </x:c>
      <x:c r="H30" s="10"/>
      <x:c r="I30" s="10" t="str">
        <x:v>3V3 ONLY if GPIO; other domains require review</x:v>
      </x:c>
      <x:c r="J30" s="10" t="str">
        <x:v>NOT_VERIFIED</x:v>
      </x:c>
      <x:c r="K30" s="10" t="str">
        <x:v>Public source only; pin1/EP/native footprint UNVERIFIED</x:v>
      </x:c>
      <x:c r="L30" s="10" t="str">
        <x:v>https://www.lcsc.com</x:v>
      </x:c>
      <x:c r="M30" s="10" t="str">
        <x:v>AUTHORIZED_VENDOR_NOT_SELECTED</x:v>
      </x:c>
      <x:c r="N30" s="10" t="str">
        <x:v>NOT_APPROVED_FOR_PROCUREMENT</x:v>
      </x:c>
      <x:c r="O30" s="10" t="str">
        <x:v>Inherited candidate quantity; netlist/thermal review pending</x:v>
      </x:c>
      <x:c r="P30" s="10" t="str">
        <x:v>UNKNOWN; vendor evidence required</x:v>
      </x:c>
    </x:row>
    <x:row r="31" ht="52" customHeight="1">
      <x:c r="A31" s="10" t="str">
        <x:v>B-032</x:v>
      </x:c>
      <x:c r="B31" s="10" t="str">
        <x:v>TMP117MAIDRVR</x:v>
      </x:c>
      <x:c r="C31" s="10" t="str">
        <x:v>WSON-6</x:v>
      </x:c>
      <x:c r="D31" s="11" t="n">
        <x:v>1</x:v>
      </x:c>
      <x:c r="E31" s="12" t="n">
        <x:v>0.1</x:v>
      </x:c>
      <x:c r="F31" s="11" t="n">
        <x:f>ROUNDUP(D31*(1+E31),0)</x:f>
        <x:v>2</x:v>
      </x:c>
      <x:c r="G31" s="10" t="str">
        <x:v>监测驱动温度，不等于空气温湿度</x:v>
      </x:c>
      <x:c r="H31" s="10"/>
      <x:c r="I31" s="10" t="str">
        <x:v>3V3 ONLY if GPIO; other domains require review</x:v>
      </x:c>
      <x:c r="J31" s="10" t="str">
        <x:v>NOT_VERIFIED</x:v>
      </x:c>
      <x:c r="K31" s="10" t="str">
        <x:v>Public source only; pin1/EP/native footprint UNVERIFIED</x:v>
      </x:c>
      <x:c r="L31" s="10" t="str">
        <x:v>https://www.ti.com/product/TMP117</x:v>
      </x:c>
      <x:c r="M31" s="10" t="str">
        <x:v>AUTHORIZED_VENDOR_NOT_SELECTED</x:v>
      </x:c>
      <x:c r="N31" s="10" t="str">
        <x:v>NOT_APPROVED_FOR_PROCUREMENT</x:v>
      </x:c>
      <x:c r="O31" s="10" t="str">
        <x:v>REQUIRED 3TMP117; center48/up49/down4B</x:v>
      </x:c>
      <x:c r="P31" s="10" t="str">
        <x:v>Texas Instruments</x:v>
      </x:c>
    </x:row>
    <x:row r="32" ht="52" customHeight="1">
      <x:c r="A32" s="10" t="str">
        <x:v>B-034</x:v>
      </x:c>
      <x:c r="B32" s="10" t="str">
        <x:v>2×25 IDC防呆（候选）</x:v>
      </x:c>
      <x:c r="C32" s="10" t="str">
        <x:v>THT</x:v>
      </x:c>
      <x:c r="D32" s="11" t="n">
        <x:v>1</x:v>
      </x:c>
      <x:c r="E32" s="12" t="n">
        <x:v>0.1</x:v>
      </x:c>
      <x:c r="F32" s="11" t="n">
        <x:f>ROUNDUP(D32*(1+E32),0)</x:f>
        <x:v>2</x:v>
      </x:c>
      <x:c r="G32" s="10" t="str">
        <x:v>每板1个，高速数据+GND相邻，不能当成最终可用66MHz</x:v>
      </x:c>
      <x:c r="H32" s="10"/>
      <x:c r="I32" s="10" t="str">
        <x:v>3V3 ONLY if GPIO; other domains require review</x:v>
      </x:c>
      <x:c r="J32" s="10" t="str">
        <x:v>NOT_VERIFIED</x:v>
      </x:c>
      <x:c r="K32" s="10" t="str">
        <x:v>Public source only; pin1/EP/native footprint UNVERIFIED</x:v>
      </x:c>
      <x:c r="L32" s="10" t="str">
        <x:v>https://www.lcsc.com/custom-cable-assembly</x:v>
      </x:c>
      <x:c r="M32" s="10" t="str">
        <x:v>AUTHORIZED_VENDOR_NOT_SELECTED</x:v>
      </x:c>
      <x:c r="N32" s="10" t="str">
        <x:v>NOT_APPROVED_FOR_PROCUREMENT</x:v>
      </x:c>
      <x:c r="O32" s="10" t="str">
        <x:v>Inherited candidate quantity; netlist/thermal review pending</x:v>
      </x:c>
      <x:c r="P32" s="10" t="str">
        <x:v>UNKNOWN; vendor evidence required</x:v>
      </x:c>
    </x:row>
    <x:row r="33" ht="52" customHeight="1">
      <x:c r="A33" s="10" t="str">
        <x:v>B-036</x:v>
      </x:c>
      <x:c r="B33" s="10" t="str">
        <x:v>不带变压器的被动8P8C/屏蔽连接器</x:v>
      </x:c>
      <x:c r="C33" s="10" t="str">
        <x:v>THT</x:v>
      </x:c>
      <x:c r="D33" s="11" t="n">
        <x:v>1</x:v>
      </x:c>
      <x:c r="E33" s="12" t="n">
        <x:v>0.1</x:v>
      </x:c>
      <x:c r="F33" s="11" t="n">
        <x:f>ROUNDUP(D33*(1+E33),0)</x:f>
        <x:v>2</x:v>
      </x:c>
      <x:c r="G33" s="10" t="str">
        <x:v>上/下阵列各1个，中央2个，明确标非以太网</x:v>
      </x:c>
      <x:c r="H33" s="10"/>
      <x:c r="I33" s="10" t="str">
        <x:v>3V3 ONLY if GPIO; other domains require review</x:v>
      </x:c>
      <x:c r="J33" s="10" t="str">
        <x:v>NOT_VERIFIED</x:v>
      </x:c>
      <x:c r="K33" s="10" t="str">
        <x:v>Public source only; pin1/EP/native footprint UNVERIFIED</x:v>
      </x:c>
      <x:c r="L33" s="10" t="str">
        <x:v>https://www.lcsc.com</x:v>
      </x:c>
      <x:c r="M33" s="10" t="str">
        <x:v>AUTHORIZED_VENDOR_NOT_SELECTED</x:v>
      </x:c>
      <x:c r="N33" s="10" t="str">
        <x:v>NOT_APPROVED_FOR_PROCUREMENT</x:v>
      </x:c>
      <x:c r="O33" s="10" t="str">
        <x:v>Inherited candidate quantity; netlist/thermal review pending</x:v>
      </x:c>
      <x:c r="P33" s="10" t="str">
        <x:v>UNKNOWN; vendor evidence required</x:v>
      </x:c>
    </x:row>
    <x:row r="34" ht="52" customHeight="1">
      <x:c r="A34" s="10" t="str">
        <x:v>B-046</x:v>
      </x:c>
      <x:c r="B34" s="10" t="str">
        <x:v>100nF 50V X7R</x:v>
      </x:c>
      <x:c r="C34" s="10" t="str">
        <x:v>0603</x:v>
      </x:c>
      <x:c r="D34" s="11" t="n">
        <x:v>71</x:v>
      </x:c>
      <x:c r="E34" s="12" t="n">
        <x:v>0.1</x:v>
      </x:c>
      <x:c r="F34" s="11" t="n">
        <x:f>ROUNDUP(D34*(1+E34),0)</x:f>
        <x:v>79</x:v>
      </x:c>
      <x:c r="G34" s="10" t="str">
        <x:v>按原v5零件计数移植；新布板新增保护网路另计</x:v>
      </x:c>
      <x:c r="H34" s="10"/>
      <x:c r="I34" s="10" t="str">
        <x:v>3V3 ONLY if GPIO; other domains require review</x:v>
      </x:c>
      <x:c r="J34" s="10" t="str">
        <x:v>NOT_VERIFIED</x:v>
      </x:c>
      <x:c r="K34" s="10" t="str">
        <x:v>Public source only; pin1/EP/native footprint UNVERIFIED</x:v>
      </x:c>
      <x:c r="L34" s="10" t="str">
        <x:v>https://github.com/loverlike1216/SonoField-FPGA/blob/main/v5/hardware/bom/BOM_MASTER.csv</x:v>
      </x:c>
      <x:c r="M34" s="10" t="str">
        <x:v>AUTHORIZED_VENDOR_NOT_SELECTED</x:v>
      </x:c>
      <x:c r="N34" s="10" t="str">
        <x:v>NOT_APPROVED_FOR_PROCUREMENT</x:v>
      </x:c>
      <x:c r="O34" s="10" t="str">
        <x:v>Inherited candidate quantity; netlist/thermal review pending</x:v>
      </x:c>
      <x:c r="P34" s="10" t="str">
        <x:v>UNKNOWN; vendor evidence required</x:v>
      </x:c>
    </x:row>
    <x:row r="35" ht="52" customHeight="1">
      <x:c r="A35" s="10" t="str">
        <x:v>B-047</x:v>
      </x:c>
      <x:c r="B35" s="10" t="str">
        <x:v>1µF 25V X7R</x:v>
      </x:c>
      <x:c r="C35" s="10" t="str">
        <x:v>0805</x:v>
      </x:c>
      <x:c r="D35" s="11" t="n">
        <x:v>33</x:v>
      </x:c>
      <x:c r="E35" s="12" t="n">
        <x:v>0.1</x:v>
      </x:c>
      <x:c r="F35" s="11" t="n">
        <x:f>ROUNDUP(D35*(1+E35),0)</x:f>
        <x:v>37</x:v>
      </x:c>
      <x:c r="G35" s="10" t="str">
        <x:v>按原v5零件计数移植；新布板新增保护网路另计</x:v>
      </x:c>
      <x:c r="H35" s="10"/>
      <x:c r="I35" s="10" t="str">
        <x:v>3V3 ONLY if GPIO; other domains require review</x:v>
      </x:c>
      <x:c r="J35" s="10" t="str">
        <x:v>NOT_VERIFIED</x:v>
      </x:c>
      <x:c r="K35" s="10" t="str">
        <x:v>Public source only; pin1/EP/native footprint UNVERIFIED</x:v>
      </x:c>
      <x:c r="L35" s="10" t="str">
        <x:v>https://github.com/loverlike1216/SonoField-FPGA/blob/main/v5/hardware/bom/BOM_MASTER.csv</x:v>
      </x:c>
      <x:c r="M35" s="10" t="str">
        <x:v>AUTHORIZED_VENDOR_NOT_SELECTED</x:v>
      </x:c>
      <x:c r="N35" s="10" t="str">
        <x:v>NOT_APPROVED_FOR_PROCUREMENT</x:v>
      </x:c>
      <x:c r="O35" s="10" t="str">
        <x:v>Inherited candidate quantity; netlist/thermal review pending</x:v>
      </x:c>
      <x:c r="P35" s="10" t="str">
        <x:v>UNKNOWN; vendor evidence required</x:v>
      </x:c>
    </x:row>
    <x:row r="36" ht="52" customHeight="1">
      <x:c r="A36" s="10" t="str">
        <x:v>B-048</x:v>
      </x:c>
      <x:c r="B36" s="10" t="str">
        <x:v>22µF 25V X7R</x:v>
      </x:c>
      <x:c r="C36" s="10" t="str">
        <x:v>1210</x:v>
      </x:c>
      <x:c r="D36" s="11" t="n">
        <x:v>12</x:v>
      </x:c>
      <x:c r="E36" s="12" t="n">
        <x:v>0.1</x:v>
      </x:c>
      <x:c r="F36" s="11" t="n">
        <x:f>ROUNDUP(D36*(1+E36),0)</x:f>
        <x:v>14</x:v>
      </x:c>
      <x:c r="G36" s="10" t="str">
        <x:v>按原v5零件计数移植；新布板新增保护网路另计</x:v>
      </x:c>
      <x:c r="H36" s="10"/>
      <x:c r="I36" s="10" t="str">
        <x:v>3V3 ONLY if GPIO; other domains require review</x:v>
      </x:c>
      <x:c r="J36" s="10" t="str">
        <x:v>NOT_VERIFIED</x:v>
      </x:c>
      <x:c r="K36" s="10" t="str">
        <x:v>Public source only; pin1/EP/native footprint UNVERIFIED</x:v>
      </x:c>
      <x:c r="L36" s="10" t="str">
        <x:v>https://github.com/loverlike1216/SonoField-FPGA/blob/main/v5/hardware/bom/BOM_MASTER.csv</x:v>
      </x:c>
      <x:c r="M36" s="10" t="str">
        <x:v>AUTHORIZED_VENDOR_NOT_SELECTED</x:v>
      </x:c>
      <x:c r="N36" s="10" t="str">
        <x:v>NOT_APPROVED_FOR_PROCUREMENT</x:v>
      </x:c>
      <x:c r="O36" s="10" t="str">
        <x:v>Inherited candidate quantity; netlist/thermal review pending</x:v>
      </x:c>
      <x:c r="P36" s="10" t="str">
        <x:v>UNKNOWN; vendor evidence required</x:v>
      </x:c>
    </x:row>
    <x:row r="37" ht="52" customHeight="1">
      <x:c r="A37" s="10" t="str">
        <x:v>B-049</x:v>
      </x:c>
      <x:c r="B37" s="10" t="str">
        <x:v>10µF 25V X7R</x:v>
      </x:c>
      <x:c r="C37" s="10" t="str">
        <x:v>1206</x:v>
      </x:c>
      <x:c r="D37" s="11" t="n">
        <x:v>3</x:v>
      </x:c>
      <x:c r="E37" s="12" t="n">
        <x:v>0.1</x:v>
      </x:c>
      <x:c r="F37" s="11" t="n">
        <x:f>ROUNDUP(D37*(1+E37),0)</x:f>
        <x:v>4</x:v>
      </x:c>
      <x:c r="G37" s="10" t="str">
        <x:v>按原v5零件计数移植；新布板新增保护网路另计</x:v>
      </x:c>
      <x:c r="H37" s="10"/>
      <x:c r="I37" s="10" t="str">
        <x:v>3V3 ONLY if GPIO; other domains require review</x:v>
      </x:c>
      <x:c r="J37" s="10" t="str">
        <x:v>NOT_VERIFIED</x:v>
      </x:c>
      <x:c r="K37" s="10" t="str">
        <x:v>Public source only; pin1/EP/native footprint UNVERIFIED</x:v>
      </x:c>
      <x:c r="L37" s="10" t="str">
        <x:v>https://github.com/loverlike1216/SonoField-FPGA/blob/main/v5/hardware/bom/BOM_MASTER.csv</x:v>
      </x:c>
      <x:c r="M37" s="10" t="str">
        <x:v>AUTHORIZED_VENDOR_NOT_SELECTED</x:v>
      </x:c>
      <x:c r="N37" s="10" t="str">
        <x:v>NOT_APPROVED_FOR_PROCUREMENT</x:v>
      </x:c>
      <x:c r="O37" s="10" t="str">
        <x:v>Inherited candidate quantity; netlist/thermal review pending</x:v>
      </x:c>
      <x:c r="P37" s="10" t="str">
        <x:v>UNKNOWN; vendor evidence required</x:v>
      </x:c>
    </x:row>
    <x:row r="38" ht="52" customHeight="1">
      <x:c r="A38" s="10" t="str">
        <x:v>B-050</x:v>
      </x:c>
      <x:c r="B38" s="10" t="str">
        <x:v>2.2µF 25V X7R</x:v>
      </x:c>
      <x:c r="C38" s="10" t="str">
        <x:v>0805</x:v>
      </x:c>
      <x:c r="D38" s="11" t="n">
        <x:v>2</x:v>
      </x:c>
      <x:c r="E38" s="12" t="n">
        <x:v>0.1</x:v>
      </x:c>
      <x:c r="F38" s="11" t="n">
        <x:f>ROUNDUP(D38*(1+E38),0)</x:f>
        <x:v>3</x:v>
      </x:c>
      <x:c r="G38" s="10" t="str">
        <x:v>按原v5零件计数移植；新布板新增保护网路另计</x:v>
      </x:c>
      <x:c r="H38" s="10"/>
      <x:c r="I38" s="10" t="str">
        <x:v>3V3 ONLY if GPIO; other domains require review</x:v>
      </x:c>
      <x:c r="J38" s="10" t="str">
        <x:v>NOT_VERIFIED</x:v>
      </x:c>
      <x:c r="K38" s="10" t="str">
        <x:v>Public source only; pin1/EP/native footprint UNVERIFIED</x:v>
      </x:c>
      <x:c r="L38" s="10" t="str">
        <x:v>https://github.com/loverlike1216/SonoField-FPGA/blob/main/v5/hardware/bom/BOM_MASTER.csv</x:v>
      </x:c>
      <x:c r="M38" s="10" t="str">
        <x:v>AUTHORIZED_VENDOR_NOT_SELECTED</x:v>
      </x:c>
      <x:c r="N38" s="10" t="str">
        <x:v>NOT_APPROVED_FOR_PROCUREMENT</x:v>
      </x:c>
      <x:c r="O38" s="10" t="str">
        <x:v>Inherited candidate quantity; netlist/thermal review pending</x:v>
      </x:c>
      <x:c r="P38" s="10" t="str">
        <x:v>UNKNOWN; vendor evidence required</x:v>
      </x:c>
    </x:row>
    <x:row r="39" ht="52" customHeight="1">
      <x:c r="A39" s="10" t="str">
        <x:v>B-051</x:v>
      </x:c>
      <x:c r="B39" s="10" t="str">
        <x:v>470µF 35V</x:v>
      </x:c>
      <x:c r="C39" s="10" t="str">
        <x:v>THT</x:v>
      </x:c>
      <x:c r="D39" s="11" t="n">
        <x:v>1</x:v>
      </x:c>
      <x:c r="E39" s="12" t="n">
        <x:v>0.1</x:v>
      </x:c>
      <x:c r="F39" s="11" t="n">
        <x:f>ROUNDUP(D39*(1+E39),0)</x:f>
        <x:v>2</x:v>
      </x:c>
      <x:c r="G39" s="10" t="str">
        <x:v>按原v5零件计数移植；新布板新增保护网路另计</x:v>
      </x:c>
      <x:c r="H39" s="10"/>
      <x:c r="I39" s="10" t="str">
        <x:v>3V3 ONLY if GPIO; other domains require review</x:v>
      </x:c>
      <x:c r="J39" s="10" t="str">
        <x:v>NOT_VERIFIED</x:v>
      </x:c>
      <x:c r="K39" s="10" t="str">
        <x:v>Public source only; pin1/EP/native footprint UNVERIFIED</x:v>
      </x:c>
      <x:c r="L39" s="10" t="str">
        <x:v>https://github.com/loverlike1216/SonoField-FPGA/blob/main/v5/hardware/bom/BOM_MASTER.csv</x:v>
      </x:c>
      <x:c r="M39" s="10" t="str">
        <x:v>AUTHORIZED_VENDOR_NOT_SELECTED</x:v>
      </x:c>
      <x:c r="N39" s="10" t="str">
        <x:v>NOT_APPROVED_FOR_PROCUREMENT</x:v>
      </x:c>
      <x:c r="O39" s="10" t="str">
        <x:v>No central12V supply/converter or5V-to5V LDO headroom; central header budget HOLD</x:v>
      </x:c>
      <x:c r="P39" s="10" t="str">
        <x:v>UNKNOWN; vendor evidence required</x:v>
      </x:c>
    </x:row>
    <x:row r="40" ht="52" customHeight="1">
      <x:c r="A40" s="10" t="str">
        <x:v>B-052</x:v>
      </x:c>
      <x:c r="B40" s="10" t="str">
        <x:v>10nF 50V C0G</x:v>
      </x:c>
      <x:c r="C40" s="10" t="str">
        <x:v>0603</x:v>
      </x:c>
      <x:c r="D40" s="11" t="n">
        <x:v>4</x:v>
      </x:c>
      <x:c r="E40" s="12" t="n">
        <x:v>0.1</x:v>
      </x:c>
      <x:c r="F40" s="11" t="n">
        <x:f>ROUNDUP(D40*(1+E40),0)</x:f>
        <x:v>5</x:v>
      </x:c>
      <x:c r="G40" s="10" t="str">
        <x:v>按原v5零件计数移植；新布板新增保护网路另计</x:v>
      </x:c>
      <x:c r="H40" s="10"/>
      <x:c r="I40" s="10" t="str">
        <x:v>3V3 ONLY if GPIO; other domains require review</x:v>
      </x:c>
      <x:c r="J40" s="10" t="str">
        <x:v>NOT_VERIFIED</x:v>
      </x:c>
      <x:c r="K40" s="10" t="str">
        <x:v>Public source only; pin1/EP/native footprint UNVERIFIED</x:v>
      </x:c>
      <x:c r="L40" s="10" t="str">
        <x:v>https://github.com/loverlike1216/SonoField-FPGA/blob/main/v5/hardware/bom/BOM_MASTER.csv</x:v>
      </x:c>
      <x:c r="M40" s="10" t="str">
        <x:v>AUTHORIZED_VENDOR_NOT_SELECTED</x:v>
      </x:c>
      <x:c r="N40" s="10" t="str">
        <x:v>NOT_APPROVED_FOR_PROCUREMENT</x:v>
      </x:c>
      <x:c r="O40" s="10" t="str">
        <x:v>Inherited candidate quantity; netlist/thermal review pending</x:v>
      </x:c>
      <x:c r="P40" s="10" t="str">
        <x:v>UNKNOWN; vendor evidence required</x:v>
      </x:c>
    </x:row>
    <x:row r="41" ht="52" customHeight="1">
      <x:c r="A41" s="10" t="str">
        <x:v>B-053</x:v>
      </x:c>
      <x:c r="B41" s="10" t="str">
        <x:v>1nF 50V C0G</x:v>
      </x:c>
      <x:c r="C41" s="10" t="str">
        <x:v>0603</x:v>
      </x:c>
      <x:c r="D41" s="11" t="n">
        <x:v>4</x:v>
      </x:c>
      <x:c r="E41" s="12" t="n">
        <x:v>0.1</x:v>
      </x:c>
      <x:c r="F41" s="11" t="n">
        <x:f>ROUNDUP(D41*(1+E41),0)</x:f>
        <x:v>5</x:v>
      </x:c>
      <x:c r="G41" s="10" t="str">
        <x:v>按原v5零件计数移植；新布板新增保护网路另计</x:v>
      </x:c>
      <x:c r="H41" s="10"/>
      <x:c r="I41" s="10" t="str">
        <x:v>3V3 ONLY if GPIO; other domains require review</x:v>
      </x:c>
      <x:c r="J41" s="10" t="str">
        <x:v>NOT_VERIFIED</x:v>
      </x:c>
      <x:c r="K41" s="10" t="str">
        <x:v>Public source only; pin1/EP/native footprint UNVERIFIED</x:v>
      </x:c>
      <x:c r="L41" s="10" t="str">
        <x:v>https://github.com/loverlike1216/SonoField-FPGA/blob/main/v5/hardware/bom/BOM_MASTER.csv</x:v>
      </x:c>
      <x:c r="M41" s="10" t="str">
        <x:v>AUTHORIZED_VENDOR_NOT_SELECTED</x:v>
      </x:c>
      <x:c r="N41" s="10" t="str">
        <x:v>NOT_APPROVED_FOR_PROCUREMENT</x:v>
      </x:c>
      <x:c r="O41" s="10" t="str">
        <x:v>Inherited candidate quantity; netlist/thermal review pending</x:v>
      </x:c>
      <x:c r="P41" s="10" t="str">
        <x:v>UNKNOWN; vendor evidence required</x:v>
      </x:c>
    </x:row>
    <x:row r="42" ht="52" customHeight="1">
      <x:c r="A42" s="10" t="str">
        <x:v>B-054</x:v>
      </x:c>
      <x:c r="B42" s="10" t="str">
        <x:v>100kΩ 1%</x:v>
      </x:c>
      <x:c r="C42" s="10" t="str">
        <x:v>0603</x:v>
      </x:c>
      <x:c r="D42" s="11" t="n">
        <x:v>89</x:v>
      </x:c>
      <x:c r="E42" s="12" t="n">
        <x:v>0.1</x:v>
      </x:c>
      <x:c r="F42" s="11" t="n">
        <x:f>ROUNDUP(D42*(1+E42),0)</x:f>
        <x:v>98</x:v>
      </x:c>
      <x:c r="G42" s="10" t="str">
        <x:v>按原v5零件计数移植；新布板新增保护网路另计</x:v>
      </x:c>
      <x:c r="H42" s="10"/>
      <x:c r="I42" s="10" t="str">
        <x:v>3V3 ONLY if GPIO; other domains require review</x:v>
      </x:c>
      <x:c r="J42" s="10" t="str">
        <x:v>NOT_VERIFIED</x:v>
      </x:c>
      <x:c r="K42" s="10" t="str">
        <x:v>Public source only; pin1/EP/native footprint UNVERIFIED</x:v>
      </x:c>
      <x:c r="L42" s="10" t="str">
        <x:v>https://github.com/loverlike1216/SonoField-FPGA/blob/main/v5/hardware/bom/BOM_MASTER.csv</x:v>
      </x:c>
      <x:c r="M42" s="10" t="str">
        <x:v>AUTHORIZED_VENDOR_NOT_SELECTED</x:v>
      </x:c>
      <x:c r="N42" s="10" t="str">
        <x:v>NOT_APPROVED_FOR_PROCUREMENT</x:v>
      </x:c>
      <x:c r="O42" s="10" t="str">
        <x:v>Inherited candidate quantity; netlist/thermal review pending</x:v>
      </x:c>
      <x:c r="P42" s="10" t="str">
        <x:v>UNKNOWN; vendor evidence required</x:v>
      </x:c>
    </x:row>
    <x:row r="43" ht="52" customHeight="1">
      <x:c r="A43" s="10" t="str">
        <x:v>B-055</x:v>
      </x:c>
      <x:c r="B43" s="10" t="str">
        <x:v>10kΩ 1%</x:v>
      </x:c>
      <x:c r="C43" s="10" t="str">
        <x:v>0603</x:v>
      </x:c>
      <x:c r="D43" s="11" t="n">
        <x:v>3</x:v>
      </x:c>
      <x:c r="E43" s="12" t="n">
        <x:v>0.1</x:v>
      </x:c>
      <x:c r="F43" s="11" t="n">
        <x:f>ROUNDUP(D43*(1+E43),0)</x:f>
        <x:v>4</x:v>
      </x:c>
      <x:c r="G43" s="10" t="str">
        <x:v>按原v5零件计数移植；新布板新增保护网路另计</x:v>
      </x:c>
      <x:c r="H43" s="10"/>
      <x:c r="I43" s="10" t="str">
        <x:v>3V3 ONLY if GPIO; other domains require review</x:v>
      </x:c>
      <x:c r="J43" s="10" t="str">
        <x:v>NOT_VERIFIED</x:v>
      </x:c>
      <x:c r="K43" s="10" t="str">
        <x:v>Public source only; pin1/EP/native footprint UNVERIFIED</x:v>
      </x:c>
      <x:c r="L43" s="10" t="str">
        <x:v>https://github.com/loverlike1216/SonoField-FPGA/blob/main/v5/hardware/bom/BOM_MASTER.csv</x:v>
      </x:c>
      <x:c r="M43" s="10" t="str">
        <x:v>AUTHORIZED_VENDOR_NOT_SELECTED</x:v>
      </x:c>
      <x:c r="N43" s="10" t="str">
        <x:v>NOT_APPROVED_FOR_PROCUREMENT</x:v>
      </x:c>
      <x:c r="O43" s="10" t="str">
        <x:v>Inherited candidate quantity; netlist/thermal review pending</x:v>
      </x:c>
      <x:c r="P43" s="10" t="str">
        <x:v>UNKNOWN; vendor evidence required</x:v>
      </x:c>
    </x:row>
    <x:row r="44" ht="52" customHeight="1">
      <x:c r="A44" s="10" t="str">
        <x:v>B-056</x:v>
      </x:c>
      <x:c r="B44" s="10" t="str">
        <x:v>4.7kΩ 1%</x:v>
      </x:c>
      <x:c r="C44" s="10" t="str">
        <x:v>0603</x:v>
      </x:c>
      <x:c r="D44" s="11" t="n">
        <x:v>2</x:v>
      </x:c>
      <x:c r="E44" s="12" t="n">
        <x:v>0.1</x:v>
      </x:c>
      <x:c r="F44" s="11" t="n">
        <x:f>ROUNDUP(D44*(1+E44),0)</x:f>
        <x:v>3</x:v>
      </x:c>
      <x:c r="G44" s="10" t="str">
        <x:v>按原v5零件计数移植；新布板新增保护网路另计</x:v>
      </x:c>
      <x:c r="H44" s="10"/>
      <x:c r="I44" s="10" t="str">
        <x:v>3V3 ONLY if GPIO; other domains require review</x:v>
      </x:c>
      <x:c r="J44" s="10" t="str">
        <x:v>NOT_VERIFIED</x:v>
      </x:c>
      <x:c r="K44" s="10" t="str">
        <x:v>Public source only; pin1/EP/native footprint UNVERIFIED</x:v>
      </x:c>
      <x:c r="L44" s="10" t="str">
        <x:v>https://github.com/loverlike1216/SonoField-FPGA/blob/main/v5/hardware/bom/BOM_MASTER.csv</x:v>
      </x:c>
      <x:c r="M44" s="10" t="str">
        <x:v>AUTHORIZED_VENDOR_NOT_SELECTED</x:v>
      </x:c>
      <x:c r="N44" s="10" t="str">
        <x:v>NOT_APPROVED_FOR_PROCUREMENT</x:v>
      </x:c>
      <x:c r="O44" s="10" t="str">
        <x:v>Inherited candidate quantity; netlist/thermal review pending</x:v>
      </x:c>
      <x:c r="P44" s="10" t="str">
        <x:v>UNKNOWN; vendor evidence required</x:v>
      </x:c>
    </x:row>
    <x:row r="45" ht="52" customHeight="1">
      <x:c r="A45" s="10" t="str">
        <x:v>B-057</x:v>
      </x:c>
      <x:c r="B45" s="10" t="str">
        <x:v>1kΩ 1%</x:v>
      </x:c>
      <x:c r="C45" s="10" t="str">
        <x:v>0603</x:v>
      </x:c>
      <x:c r="D45" s="11" t="n">
        <x:v>8</x:v>
      </x:c>
      <x:c r="E45" s="12" t="n">
        <x:v>0.1</x:v>
      </x:c>
      <x:c r="F45" s="11" t="n">
        <x:f>ROUNDUP(D45*(1+E45),0)</x:f>
        <x:v>9</x:v>
      </x:c>
      <x:c r="G45" s="10" t="str">
        <x:v>按原v5零件计数移植；新布板新增保护网路另计</x:v>
      </x:c>
      <x:c r="H45" s="10"/>
      <x:c r="I45" s="10" t="str">
        <x:v>3V3 ONLY if GPIO; other domains require review</x:v>
      </x:c>
      <x:c r="J45" s="10" t="str">
        <x:v>NOT_VERIFIED</x:v>
      </x:c>
      <x:c r="K45" s="10" t="str">
        <x:v>Public source only; pin1/EP/native footprint UNVERIFIED</x:v>
      </x:c>
      <x:c r="L45" s="10" t="str">
        <x:v>https://github.com/loverlike1216/SonoField-FPGA/blob/main/v5/hardware/bom/BOM_MASTER.csv</x:v>
      </x:c>
      <x:c r="M45" s="10" t="str">
        <x:v>AUTHORIZED_VENDOR_NOT_SELECTED</x:v>
      </x:c>
      <x:c r="N45" s="10" t="str">
        <x:v>NOT_APPROVED_FOR_PROCUREMENT</x:v>
      </x:c>
      <x:c r="O45" s="10" t="str">
        <x:v>Inherited candidate quantity; netlist/thermal review pending</x:v>
      </x:c>
      <x:c r="P45" s="10" t="str">
        <x:v>UNKNOWN; vendor evidence required</x:v>
      </x:c>
    </x:row>
    <x:row r="46" ht="52" customHeight="1">
      <x:c r="A46" s="10" t="str">
        <x:v>B-058</x:v>
      </x:c>
      <x:c r="B46" s="10" t="str">
        <x:v>47Ω 1%</x:v>
      </x:c>
      <x:c r="C46" s="10" t="str">
        <x:v>0603</x:v>
      </x:c>
      <x:c r="D46" s="11" t="n">
        <x:v>4</x:v>
      </x:c>
      <x:c r="E46" s="12" t="n">
        <x:v>0.1</x:v>
      </x:c>
      <x:c r="F46" s="11" t="n">
        <x:f>ROUNDUP(D46*(1+E46),0)</x:f>
        <x:v>5</x:v>
      </x:c>
      <x:c r="G46" s="10" t="str">
        <x:v>按原v5零件计数移植；新布板新增保护网路另计</x:v>
      </x:c>
      <x:c r="H46" s="10"/>
      <x:c r="I46" s="10" t="str">
        <x:v>3V3 ONLY if GPIO; other domains require review</x:v>
      </x:c>
      <x:c r="J46" s="10" t="str">
        <x:v>NOT_VERIFIED</x:v>
      </x:c>
      <x:c r="K46" s="10" t="str">
        <x:v>Public source only; pin1/EP/native footprint UNVERIFIED</x:v>
      </x:c>
      <x:c r="L46" s="10" t="str">
        <x:v>https://github.com/loverlike1216/SonoField-FPGA/blob/main/v5/hardware/bom/BOM_MASTER.csv</x:v>
      </x:c>
      <x:c r="M46" s="10" t="str">
        <x:v>AUTHORIZED_VENDOR_NOT_SELECTED</x:v>
      </x:c>
      <x:c r="N46" s="10" t="str">
        <x:v>NOT_APPROVED_FOR_PROCUREMENT</x:v>
      </x:c>
      <x:c r="O46" s="10" t="str">
        <x:v>Inherited candidate quantity; netlist/thermal review pending</x:v>
      </x:c>
      <x:c r="P46" s="10" t="str">
        <x:v>UNKNOWN; vendor evidence required</x:v>
      </x:c>
    </x:row>
    <x:row r="47" ht="52" customHeight="1">
      <x:c r="A47" s="10" t="str">
        <x:v>B-059</x:v>
      </x:c>
      <x:c r="B47" s="10" t="str">
        <x:v>33Ω 1%</x:v>
      </x:c>
      <x:c r="C47" s="10" t="str">
        <x:v>0603</x:v>
      </x:c>
      <x:c r="D47" s="11" t="n">
        <x:v>8</x:v>
      </x:c>
      <x:c r="E47" s="12" t="n">
        <x:v>0.1</x:v>
      </x:c>
      <x:c r="F47" s="11" t="n">
        <x:f>ROUNDUP(D47*(1+E47),0)</x:f>
        <x:v>9</x:v>
      </x:c>
      <x:c r="G47" s="10" t="str">
        <x:v>按原v5零件计数移植；新布板新增保护网路另计</x:v>
      </x:c>
      <x:c r="H47" s="10"/>
      <x:c r="I47" s="10" t="str">
        <x:v>3V3 ONLY if GPIO; other domains require review</x:v>
      </x:c>
      <x:c r="J47" s="10" t="str">
        <x:v>NOT_VERIFIED</x:v>
      </x:c>
      <x:c r="K47" s="10" t="str">
        <x:v>Public source only; pin1/EP/native footprint UNVERIFIED</x:v>
      </x:c>
      <x:c r="L47" s="10" t="str">
        <x:v>https://github.com/loverlike1216/SonoField-FPGA/blob/main/v5/hardware/bom/BOM_MASTER.csv</x:v>
      </x:c>
      <x:c r="M47" s="10" t="str">
        <x:v>AUTHORIZED_VENDOR_NOT_SELECTED</x:v>
      </x:c>
      <x:c r="N47" s="10" t="str">
        <x:v>NOT_APPROVED_FOR_PROCUREMENT</x:v>
      </x:c>
      <x:c r="O47" s="10" t="str">
        <x:v>Inherited candidate quantity; netlist/thermal review pending</x:v>
      </x:c>
      <x:c r="P47" s="10" t="str">
        <x:v>UNKNOWN; vendor evidence required</x:v>
      </x:c>
    </x:row>
    <x:row r="48" ht="52" customHeight="1">
      <x:c r="A48" s="10" t="str">
        <x:v>B-060</x:v>
      </x:c>
      <x:c r="B48" s="10" t="str">
        <x:v>10Ω 1%</x:v>
      </x:c>
      <x:c r="C48" s="10" t="str">
        <x:v>0603</x:v>
      </x:c>
      <x:c r="D48" s="11" t="n">
        <x:v>2</x:v>
      </x:c>
      <x:c r="E48" s="12" t="n">
        <x:v>0.1</x:v>
      </x:c>
      <x:c r="F48" s="11" t="n">
        <x:f>ROUNDUP(D48*(1+E48),0)</x:f>
        <x:v>3</x:v>
      </x:c>
      <x:c r="G48" s="10" t="str">
        <x:v>按原v5零件计数移植；新布板新增保护网路另计</x:v>
      </x:c>
      <x:c r="H48" s="10"/>
      <x:c r="I48" s="10" t="str">
        <x:v>3V3 ONLY if GPIO; other domains require review</x:v>
      </x:c>
      <x:c r="J48" s="10" t="str">
        <x:v>NOT_VERIFIED</x:v>
      </x:c>
      <x:c r="K48" s="10" t="str">
        <x:v>Public source only; pin1/EP/native footprint UNVERIFIED</x:v>
      </x:c>
      <x:c r="L48" s="10" t="str">
        <x:v>https://github.com/loverlike1216/SonoField-FPGA/blob/main/v5/hardware/bom/BOM_MASTER.csv</x:v>
      </x:c>
      <x:c r="M48" s="10" t="str">
        <x:v>AUTHORIZED_VENDOR_NOT_SELECTED</x:v>
      </x:c>
      <x:c r="N48" s="10" t="str">
        <x:v>NOT_APPROVED_FOR_PROCUREMENT</x:v>
      </x:c>
      <x:c r="O48" s="10" t="str">
        <x:v>Inherited candidate quantity; netlist/thermal review pending</x:v>
      </x:c>
      <x:c r="P48" s="10" t="str">
        <x:v>UNKNOWN; vendor evidence required</x:v>
      </x:c>
    </x:row>
    <x:row r="49" ht="52" customHeight="1">
      <x:c r="A49" s="10" t="str">
        <x:v>B-061</x:v>
      </x:c>
      <x:c r="B49" s="10" t="str">
        <x:v>0Ω 0603</x:v>
      </x:c>
      <x:c r="C49" s="10" t="str">
        <x:v>0603</x:v>
      </x:c>
      <x:c r="D49" s="11" t="n">
        <x:v>68</x:v>
      </x:c>
      <x:c r="E49" s="12" t="n">
        <x:v>0.1</x:v>
      </x:c>
      <x:c r="F49" s="11" t="n">
        <x:f>ROUNDUP(D49*(1+E49),0)</x:f>
        <x:v>75</x:v>
      </x:c>
      <x:c r="G49" s="10" t="str">
        <x:v>按原v5零件计数移植；新布板新增保护网路另计</x:v>
      </x:c>
      <x:c r="H49" s="10"/>
      <x:c r="I49" s="10" t="str">
        <x:v>3V3 ONLY if GPIO; other domains require review</x:v>
      </x:c>
      <x:c r="J49" s="10" t="str">
        <x:v>NOT_VERIFIED</x:v>
      </x:c>
      <x:c r="K49" s="10" t="str">
        <x:v>Public source only; pin1/EP/native footprint UNVERIFIED</x:v>
      </x:c>
      <x:c r="L49" s="10" t="str">
        <x:v>https://github.com/loverlike1216/SonoField-FPGA/blob/main/v5/hardware/bom/BOM_MASTER.csv</x:v>
      </x:c>
      <x:c r="M49" s="10" t="str">
        <x:v>AUTHORIZED_VENDOR_NOT_SELECTED</x:v>
      </x:c>
      <x:c r="N49" s="10" t="str">
        <x:v>NOT_APPROVED_FOR_PROCUREMENT</x:v>
      </x:c>
      <x:c r="O49" s="10" t="str">
        <x:v>Inherited candidate quantity; netlist/thermal review pending</x:v>
      </x:c>
      <x:c r="P49" s="10" t="str">
        <x:v>UNKNOWN; vendor evidence required</x:v>
      </x:c>
    </x:row>
    <x:row r="50" ht="52" customHeight="1">
      <x:c r="A50" s="10" t="str">
        <x:v>B-062</x:v>
      </x:c>
      <x:c r="B50" s="10" t="str">
        <x:v>1.65kΩ 1%</x:v>
      </x:c>
      <x:c r="C50" s="10" t="str">
        <x:v>0603</x:v>
      </x:c>
      <x:c r="D50" s="11" t="n">
        <x:v>1</x:v>
      </x:c>
      <x:c r="E50" s="12" t="n">
        <x:v>0.1</x:v>
      </x:c>
      <x:c r="F50" s="11" t="n">
        <x:f>ROUNDUP(D50*(1+E50),0)</x:f>
        <x:v>2</x:v>
      </x:c>
      <x:c r="G50" s="10" t="str">
        <x:v>1.65kΩ→约2.02A标称；不是5.5A</x:v>
      </x:c>
      <x:c r="H50" s="10"/>
      <x:c r="I50" s="10" t="str">
        <x:v>3V3 ONLY if GPIO; other domains require review</x:v>
      </x:c>
      <x:c r="J50" s="10" t="str">
        <x:v>NOT_VERIFIED</x:v>
      </x:c>
      <x:c r="K50" s="10" t="str">
        <x:v>Public source only; pin1/EP/native footprint UNVERIFIED</x:v>
      </x:c>
      <x:c r="L50" s="10" t="str">
        <x:v>https://github.com/loverlike1216/SonoField-FPGA/blob/main/v5/hardware/bom/BOM_MASTER.csv</x:v>
      </x:c>
      <x:c r="M50" s="10" t="str">
        <x:v>AUTHORIZED_VENDOR_NOT_SELECTED</x:v>
      </x:c>
      <x:c r="N50" s="10" t="str">
        <x:v>NOT_APPROVED_FOR_PROCUREMENT</x:v>
      </x:c>
      <x:c r="O50" s="10" t="str">
        <x:v>Inherited candidate quantity; netlist/thermal review pending</x:v>
      </x:c>
      <x:c r="P50" s="10" t="str">
        <x:v>UNKNOWN; vendor evidence required</x:v>
      </x:c>
    </x:row>
    <x:row r="51" ht="52" customHeight="1">
      <x:c r="A51" s="10" t="str">
        <x:v>B-063</x:v>
      </x:c>
      <x:c r="B51" s="10" t="str">
        <x:v>1.37MΩ 1%</x:v>
      </x:c>
      <x:c r="C51" s="10" t="str">
        <x:v>0603</x:v>
      </x:c>
      <x:c r="D51" s="11" t="n">
        <x:v>1</x:v>
      </x:c>
      <x:c r="E51" s="12" t="n">
        <x:v>0.1</x:v>
      </x:c>
      <x:c r="F51" s="11" t="n">
        <x:f>ROUNDUP(D51*(1+E51),0)</x:f>
        <x:v>2</x:v>
      </x:c>
      <x:c r="G51" s="10" t="str">
        <x:v>按原v5零件计数移植；新布板新增保护网路另计</x:v>
      </x:c>
      <x:c r="H51" s="10"/>
      <x:c r="I51" s="10" t="str">
        <x:v>3V3 ONLY if GPIO; other domains require review</x:v>
      </x:c>
      <x:c r="J51" s="10" t="str">
        <x:v>NOT_VERIFIED</x:v>
      </x:c>
      <x:c r="K51" s="10" t="str">
        <x:v>Public source only; pin1/EP/native footprint UNVERIFIED</x:v>
      </x:c>
      <x:c r="L51" s="10" t="str">
        <x:v>https://github.com/loverlike1216/SonoField-FPGA/blob/main/v5/hardware/bom/BOM_MASTER.csv</x:v>
      </x:c>
      <x:c r="M51" s="10" t="str">
        <x:v>AUTHORIZED_VENDOR_NOT_SELECTED</x:v>
      </x:c>
      <x:c r="N51" s="10" t="str">
        <x:v>NOT_APPROVED_FOR_PROCUREMENT</x:v>
      </x:c>
      <x:c r="O51" s="10" t="str">
        <x:v>Inherited candidate quantity; netlist/thermal review pending</x:v>
      </x:c>
      <x:c r="P51" s="10" t="str">
        <x:v>UNKNOWN; vendor evidence required</x:v>
      </x:c>
    </x:row>
    <x:row r="52" ht="52" customHeight="1">
      <x:c r="A52" s="10" t="str">
        <x:v>B-064</x:v>
      </x:c>
      <x:c r="B52" s="10" t="str">
        <x:v>590kΩ 1%</x:v>
      </x:c>
      <x:c r="C52" s="10" t="str">
        <x:v>0603</x:v>
      </x:c>
      <x:c r="D52" s="11" t="n">
        <x:v>1</x:v>
      </x:c>
      <x:c r="E52" s="12" t="n">
        <x:v>0.1</x:v>
      </x:c>
      <x:c r="F52" s="11" t="n">
        <x:f>ROUNDUP(D52*(1+E52),0)</x:f>
        <x:v>2</x:v>
      </x:c>
      <x:c r="G52" s="10" t="str">
        <x:v>按原v5零件计数移植；新布板新增保护网路另计</x:v>
      </x:c>
      <x:c r="H52" s="10"/>
      <x:c r="I52" s="10" t="str">
        <x:v>3V3 ONLY if GPIO; other domains require review</x:v>
      </x:c>
      <x:c r="J52" s="10" t="str">
        <x:v>NOT_VERIFIED</x:v>
      </x:c>
      <x:c r="K52" s="10" t="str">
        <x:v>Public source only; pin1/EP/native footprint UNVERIFIED</x:v>
      </x:c>
      <x:c r="L52" s="10" t="str">
        <x:v>https://github.com/loverlike1216/SonoField-FPGA/blob/main/v5/hardware/bom/BOM_MASTER.csv</x:v>
      </x:c>
      <x:c r="M52" s="10" t="str">
        <x:v>AUTHORIZED_VENDOR_NOT_SELECTED</x:v>
      </x:c>
      <x:c r="N52" s="10" t="str">
        <x:v>NOT_APPROVED_FOR_PROCUREMENT</x:v>
      </x:c>
      <x:c r="O52" s="10" t="str">
        <x:v>Inherited candidate quantity; netlist/thermal review pending</x:v>
      </x:c>
      <x:c r="P52" s="10" t="str">
        <x:v>UNKNOWN; vendor evidence required</x:v>
      </x:c>
    </x:row>
    <x:row r="53" ht="52" customHeight="1">
      <x:c r="A53" s="10" t="str">
        <x:v>B-065</x:v>
      </x:c>
      <x:c r="B53" s="10" t="str">
        <x:v>100kΩ 0.1%</x:v>
      </x:c>
      <x:c r="C53" s="10" t="str">
        <x:v>0603</x:v>
      </x:c>
      <x:c r="D53" s="11" t="n">
        <x:v>4</x:v>
      </x:c>
      <x:c r="E53" s="12" t="n">
        <x:v>0.1</x:v>
      </x:c>
      <x:c r="F53" s="11" t="n">
        <x:f>ROUNDUP(D53*(1+E53),0)</x:f>
        <x:v>5</x:v>
      </x:c>
      <x:c r="G53" s="10" t="str">
        <x:v>按原v5零件计数移植；新布板新增保护网路另计</x:v>
      </x:c>
      <x:c r="H53" s="10"/>
      <x:c r="I53" s="10" t="str">
        <x:v>3V3 ONLY if GPIO; other domains require review</x:v>
      </x:c>
      <x:c r="J53" s="10" t="str">
        <x:v>NOT_VERIFIED</x:v>
      </x:c>
      <x:c r="K53" s="10" t="str">
        <x:v>Public source only; pin1/EP/native footprint UNVERIFIED</x:v>
      </x:c>
      <x:c r="L53" s="10" t="str">
        <x:v>https://github.com/loverlike1216/SonoField-FPGA/blob/main/v5/hardware/bom/BOM_MASTER.csv</x:v>
      </x:c>
      <x:c r="M53" s="10" t="str">
        <x:v>AUTHORIZED_VENDOR_NOT_SELECTED</x:v>
      </x:c>
      <x:c r="N53" s="10" t="str">
        <x:v>NOT_APPROVED_FOR_PROCUREMENT</x:v>
      </x:c>
      <x:c r="O53" s="10" t="str">
        <x:v>Inherited candidate quantity; netlist/thermal review pending</x:v>
      </x:c>
      <x:c r="P53" s="10" t="str">
        <x:v>UNKNOWN; vendor evidence required</x:v>
      </x:c>
    </x:row>
    <x:row r="54" ht="52" customHeight="1">
      <x:c r="A54" s="10" t="str">
        <x:v>B-066</x:v>
      </x:c>
      <x:c r="B54" s="10" t="str">
        <x:v>10kΩ 0.1%</x:v>
      </x:c>
      <x:c r="C54" s="10" t="str">
        <x:v>0603</x:v>
      </x:c>
      <x:c r="D54" s="11" t="n">
        <x:v>12</x:v>
      </x:c>
      <x:c r="E54" s="12" t="n">
        <x:v>0.1</x:v>
      </x:c>
      <x:c r="F54" s="11" t="n">
        <x:f>ROUNDUP(D54*(1+E54),0)</x:f>
        <x:v>14</x:v>
      </x:c>
      <x:c r="G54" s="10" t="str">
        <x:v>按原v5零件计数移植；新布板新增保护网路另计</x:v>
      </x:c>
      <x:c r="H54" s="10"/>
      <x:c r="I54" s="10" t="str">
        <x:v>3V3 ONLY if GPIO; other domains require review</x:v>
      </x:c>
      <x:c r="J54" s="10" t="str">
        <x:v>NOT_VERIFIED</x:v>
      </x:c>
      <x:c r="K54" s="10" t="str">
        <x:v>Public source only; pin1/EP/native footprint UNVERIFIED</x:v>
      </x:c>
      <x:c r="L54" s="10" t="str">
        <x:v>https://github.com/loverlike1216/SonoField-FPGA/blob/main/v5/hardware/bom/BOM_MASTER.csv</x:v>
      </x:c>
      <x:c r="M54" s="10" t="str">
        <x:v>AUTHORIZED_VENDOR_NOT_SELECTED</x:v>
      </x:c>
      <x:c r="N54" s="10" t="str">
        <x:v>NOT_APPROVED_FOR_PROCUREMENT</x:v>
      </x:c>
      <x:c r="O54" s="10" t="str">
        <x:v>Inherited candidate quantity; netlist/thermal review pending</x:v>
      </x:c>
      <x:c r="P54" s="10" t="str">
        <x:v>UNKNOWN; vendor evidence required</x:v>
      </x:c>
    </x:row>
    <x:row r="55" ht="52" customHeight="1">
      <x:c r="A55" s="10" t="str">
        <x:v>B-069</x:v>
      </x:c>
      <x:c r="B55" s="10" t="str">
        <x:v>130×130mm 4L 1.6mm FR4候选</x:v>
      </x:c>
      <x:c r="C55" s="10" t="str">
        <x:v>PCB</x:v>
      </x:c>
      <x:c r="D55" s="11" t="n">
        <x:v>1</x:v>
      </x:c>
      <x:c r="E55" s="12" t="n">
        <x:v>0.1</x:v>
      </x:c>
      <x:c r="F55" s="11" t="n">
        <x:f>ROUNDUP(D55*(1+E55),0)</x:f>
        <x:v>2</x:v>
      </x:c>
      <x:c r="G55" s="10" t="str">
        <x:v>单板64 TX+4RX+驱动/AFE；空间布局受限需密度审查</x:v>
      </x:c>
      <x:c r="H55" s="10"/>
      <x:c r="I55" s="10" t="str">
        <x:v>3V3 ONLY if GPIO; other domains require review</x:v>
      </x:c>
      <x:c r="J55" s="10" t="str">
        <x:v>NOT_VERIFIED</x:v>
      </x:c>
      <x:c r="K55" s="10" t="str">
        <x:v>Public source only; pin1/EP/native footprint UNVERIFIED</x:v>
      </x:c>
      <x:c r="L55" s="10" t="str">
        <x:v>https://jlcpcb.com</x:v>
      </x:c>
      <x:c r="M55" s="10" t="str">
        <x:v>AUTHORIZED_VENDOR_NOT_SELECTED</x:v>
      </x:c>
      <x:c r="N55" s="10" t="str">
        <x:v>NOT_APPROVED_FOR_PROCUREMENT</x:v>
      </x:c>
      <x:c r="O55" s="10" t="str">
        <x:v>Inherited candidate quantity; netlist/thermal review pending</x:v>
      </x:c>
      <x:c r="P55" s="10" t="str">
        <x:v>UNKNOWN; vendor evidence required</x:v>
      </x:c>
    </x:row>
    <x:row r="56" ht="52" customHeight="1">
      <x:c r="A56" s="10" t="str">
        <x:v>PC-002</x:v>
      </x:c>
      <x:c r="B56" s="10" t="str">
        <x:v>PART_SELECTION_HOLD</x:v>
      </x:c>
      <x:c r="C56" s="10" t="str">
        <x:v>HOLD</x:v>
      </x:c>
      <x:c r="D56" s="11" t="n">
        <x:v>1</x:v>
      </x:c>
      <x:c r="E56" s="12" t="n">
        <x:v>0.1</x:v>
      </x:c>
      <x:c r="F56" s="11" t="n">
        <x:f>ROUNDUP(D56*(1+E56),0)</x:f>
        <x:v>2</x:v>
      </x:c>
      <x:c r="G56" s="10" t="str">
        <x:v>CANDIDATE_REVIEW_REQUIRED</x:v>
      </x:c>
      <x:c r="H56" s="10"/>
      <x:c r="I56" s="10" t="str">
        <x:v>ELECTRICAL_REVIEW_REQUIRED</x:v>
      </x:c>
      <x:c r="J56" s="10" t="str">
        <x:v>NOT_VERIFIED</x:v>
      </x:c>
      <x:c r="K56" s="10" t="str">
        <x:v>Native pin1/EP not verified</x:v>
      </x:c>
      <x:c r="L56" s="10" t="str">
        <x:v>USER_SAFETY_REQUIREMENT</x:v>
      </x:c>
      <x:c r="M56" s="10" t="str">
        <x:v>NOT_SELECTED</x:v>
      </x:c>
      <x:c r="N56" s="10" t="str">
        <x:v>NOT_APPROVED_FOR_PROCUREMENT</x:v>
      </x:c>
      <x:c r="O56" s="10" t="str">
        <x:v>Electrical/thermal qualification HOLD</x:v>
      </x:c>
      <x:c r="P56" s="10" t="str">
        <x:v>UNKNOWN; vendor evidence required</x:v>
      </x:c>
    </x:row>
  </x:sheetData>
  <x:conditionalFormatting sqref="J5:J56">
    <x:cfRule type="containsText" dxfId="0" priority="1" operator="containsText" text="NOT_VERIFIED"/>
  </x:conditionalFormatting>
  <x:pageMargins left="0.7" right="0.7" top="0.75" bottom="0.75" header="0.3" footer="0.3"/>
  <x:tableParts count="1">
    <x:tablePart xmlns:r="http://schemas.openxmlformats.org/officeDocument/2006/relationships" r:id="R3a854a6570d24417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2" hidden="0" customWidth="1"/>
    <x:col min="2" max="2" width="35" hidden="0" customWidth="1"/>
    <x:col min="3" max="3" width="20" hidden="0" customWidth="1"/>
    <x:col min="4" max="4" width="12" hidden="0" customWidth="1"/>
    <x:col min="5" max="5" width="12" hidden="0" customWidth="1"/>
    <x:col min="6" max="6" width="14" hidden="0" customWidth="1"/>
    <x:col min="7" max="7" width="50" hidden="0" customWidth="1"/>
    <x:col min="8" max="8" width="14" hidden="0" customWidth="1"/>
    <x:col min="9" max="9" width="35" hidden="0" customWidth="1"/>
    <x:col min="10" max="10" width="18" hidden="0" customWidth="1"/>
    <x:col min="11" max="11" width="38" hidden="0" customWidth="1"/>
    <x:col min="12" max="12" width="55" hidden="0" customWidth="1"/>
    <x:col min="13" max="13" width="32" hidden="0" customWidth="1"/>
    <x:col min="14" max="14" width="38" hidden="0" customWidth="1"/>
    <x:col min="15" max="15" width="70" hidden="0" customWidth="1"/>
    <x:col min="16" max="16" width="38" hidden="0" customWidth="1"/>
  </x:cols>
  <x:sheetData>
    <x:row r="2">
      <x:c r="A2" s="6" t="str">
        <x:v>Lower candidate assembly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</x:row>
    <x:row r="3">
      <x:c r="A3" s="3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  <x:c r="P3" s="3"/>
    </x:row>
    <x:row r="4" ht="34" customHeight="1">
      <x:c r="A4" s="9" t="str">
        <x:v>ID</x:v>
      </x:c>
      <x:c r="B4" s="9" t="str">
        <x:v>Part / MPN</x:v>
      </x:c>
      <x:c r="C4" s="9" t="str">
        <x:v>Package</x:v>
      </x:c>
      <x:c r="D4" s="9" t="str">
        <x:v>Installed qty</x:v>
      </x:c>
      <x:c r="E4" s="9" t="str">
        <x:v>Suggested spare %</x:v>
      </x:c>
      <x:c r="F4" s="9" t="str">
        <x:v>Procurement qty</x:v>
      </x:c>
      <x:c r="G4" s="9" t="str">
        <x:v>Supply / rating</x:v>
      </x:c>
      <x:c r="H4" s="9" t="str">
        <x:v>Max current A</x:v>
      </x:c>
      <x:c r="I4" s="9" t="str">
        <x:v>IO domain</x:v>
      </x:c>
      <x:c r="J4" s="9" t="str">
        <x:v>Measured</x:v>
      </x:c>
      <x:c r="K4" s="9" t="str">
        <x:v>Package verification</x:v>
      </x:c>
      <x:c r="L4" s="9" t="str">
        <x:v>Source URL</x:v>
      </x:c>
      <x:c r="M4" s="9" t="str">
        <x:v>Supplier</x:v>
      </x:c>
      <x:c r="N4" s="9" t="str">
        <x:v>Approval</x:v>
      </x:c>
      <x:c r="O4" s="9" t="str">
        <x:v>Risk / required action</x:v>
      </x:c>
      <x:c r="P4" s="9" t="str">
        <x:v>Manufacturer</x:v>
      </x:c>
    </x:row>
    <x:row r="5" ht="52" customHeight="1">
      <x:c r="A5" s="10" t="str">
        <x:v>B-001</x:v>
      </x:c>
      <x:c r="B5" s="10" t="str">
        <x:v>NU40C10T</x:v>
      </x:c>
      <x:c r="C5" s="10" t="str">
        <x:v>THT TBD</x:v>
      </x:c>
      <x:c r="D5" s="11" t="n">
        <x:v>64</x:v>
      </x:c>
      <x:c r="E5" s="12" t="n">
        <x:v>0.1</x:v>
      </x:c>
      <x:c r="F5" s="11" t="n">
        <x:f>ROUNDUP(D5*(1+E5),0)</x:f>
        <x:v>71</x:v>
      </x:c>
      <x:c r="G5" s="10" t="str">
        <x:v>用户锁定发射器型号；供应商完整 datasheet / 焊脚尺寸尚需核实</x:v>
      </x:c>
      <x:c r="H5" s="10"/>
      <x:c r="I5" s="10" t="str">
        <x:v>3V3 ONLY if GPIO; other domains require review</x:v>
      </x:c>
      <x:c r="J5" s="10" t="str">
        <x:v>NOT_VERIFIED</x:v>
      </x:c>
      <x:c r="K5" s="10" t="str">
        <x:v>Public source only; pin1/EP/native footprint UNVERIFIED</x:v>
      </x:c>
      <x:c r="L5" s="10" t="str">
        <x:v>USER_NU40C10T_VENDOR_DATASHEET_REQUIRED</x:v>
      </x:c>
      <x:c r="M5" s="10" t="str">
        <x:v>AUTHORIZED_VENDOR_NOT_SELECTED</x:v>
      </x:c>
      <x:c r="N5" s="10" t="str">
        <x:v>NOT_APPROVED_FOR_PROCUREMENT</x:v>
      </x:c>
      <x:c r="O5" s="10" t="str">
        <x:v>Inherited candidate quantity; netlist/thermal review pending</x:v>
      </x:c>
      <x:c r="P5" s="10" t="str">
        <x:v>UNKNOWN; vendor evidence required</x:v>
      </x:c>
    </x:row>
    <x:row r="6" ht="52" customHeight="1">
      <x:c r="A6" s="10" t="str">
        <x:v>B-002</x:v>
      </x:c>
      <x:c r="B6" s="10" t="str">
        <x:v>NU40C相配RX（精确料号TBD）</x:v>
      </x:c>
      <x:c r="C6" s="10" t="str">
        <x:v>THT TBD</x:v>
      </x:c>
      <x:c r="D6" s="11" t="n">
        <x:v>4</x:v>
      </x:c>
      <x:c r="E6" s="12" t="n">
        <x:v>0.1</x:v>
      </x:c>
      <x:c r="F6" s="11" t="n">
        <x:f>ROUNDUP(D6*(1+E6),0)</x:f>
        <x:v>5</x:v>
      </x:c>
      <x:c r="G6" s="10" t="str">
        <x:v>同频匹配接收器；不得擅自把TX当RX</x:v>
      </x:c>
      <x:c r="H6" s="10"/>
      <x:c r="I6" s="10" t="str">
        <x:v>3V3 ONLY if GPIO; other domains require review</x:v>
      </x:c>
      <x:c r="J6" s="10" t="str">
        <x:v>NOT_VERIFIED</x:v>
      </x:c>
      <x:c r="K6" s="10" t="str">
        <x:v>Public source only; pin1/EP/native footprint UNVERIFIED</x:v>
      </x:c>
      <x:c r="L6" s="10" t="str">
        <x:v>https://github.com/loverlike1216/SonoField-FPGA/tree/main/v5</x:v>
      </x:c>
      <x:c r="M6" s="10" t="str">
        <x:v>AUTHORIZED_VENDOR_NOT_SELECTED</x:v>
      </x:c>
      <x:c r="N6" s="10" t="str">
        <x:v>NOT_APPROVED_FOR_PROCUREMENT</x:v>
      </x:c>
      <x:c r="O6" s="10" t="str">
        <x:v>Inherited candidate quantity; netlist/thermal review pending</x:v>
      </x:c>
      <x:c r="P6" s="10" t="str">
        <x:v>UNKNOWN; vendor evidence required</x:v>
      </x:c>
    </x:row>
    <x:row r="7" ht="52" customHeight="1">
      <x:c r="A7" s="10" t="str">
        <x:v>B-003</x:v>
      </x:c>
      <x:c r="B7" s="10" t="str">
        <x:v>TC4427AEOA713</x:v>
      </x:c>
      <x:c r="C7" s="10" t="str">
        <x:v>SOIC-8</x:v>
      </x:c>
      <x:c r="D7" s="11" t="n">
        <x:v>32</x:v>
      </x:c>
      <x:c r="E7" s="12" t="n">
        <x:v>0.1</x:v>
      </x:c>
      <x:c r="F7" s="11" t="n">
        <x:f>ROUNDUP(D7*(1+E7),0)</x:f>
        <x:v>36</x:v>
      </x:c>
      <x:c r="G7" s="10" t="str">
        <x:v>2输出/芯片；12V首轮限流调试，不是NU40C10T额定电压</x:v>
      </x:c>
      <x:c r="H7" s="10"/>
      <x:c r="I7" s="10" t="str">
        <x:v>3V3 ONLY if GPIO; other domains require review</x:v>
      </x:c>
      <x:c r="J7" s="10" t="str">
        <x:v>NOT_VERIFIED</x:v>
      </x:c>
      <x:c r="K7" s="10" t="str">
        <x:v>Public source only; pin1/EP/native footprint UNVERIFIED</x:v>
      </x:c>
      <x:c r="L7" s="10" t="str">
        <x:v>https://www.microchip.com/en-us/product/TC4427A</x:v>
      </x:c>
      <x:c r="M7" s="10" t="str">
        <x:v>AUTHORIZED_VENDOR_NOT_SELECTED</x:v>
      </x:c>
      <x:c r="N7" s="10" t="str">
        <x:v>NOT_APPROVED_FOR_PROCUREMENT</x:v>
      </x:c>
      <x:c r="O7" s="10" t="str">
        <x:v>Inherited candidate quantity; netlist/thermal review pending</x:v>
      </x:c>
      <x:c r="P7" s="10" t="str">
        <x:v>Microchip</x:v>
      </x:c>
    </x:row>
    <x:row r="8" ht="52" customHeight="1">
      <x:c r="A8" s="10" t="str">
        <x:v>B-004</x:v>
      </x:c>
      <x:c r="B8" s="10" t="str">
        <x:v>SN74LVC595APWR</x:v>
      </x:c>
      <x:c r="C8" s="10" t="str">
        <x:v>TSSOP-16</x:v>
      </x:c>
      <x:c r="D8" s="11" t="n">
        <x:v>16</x:v>
      </x:c>
      <x:c r="E8" s="12" t="n">
        <x:v>0.1</x:v>
      </x:c>
      <x:c r="F8" s="11" t="n">
        <x:f>ROUNDUP(D8*(1+E8),0)</x:f>
        <x:v>18</x:v>
      </x:c>
      <x:c r="G8" s="10" t="str">
        <x:v>每片4个有效输出；每侧16条独立串行lane</x:v>
      </x:c>
      <x:c r="H8" s="10"/>
      <x:c r="I8" s="10" t="str">
        <x:v>3V3 ONLY if GPIO; other domains require review</x:v>
      </x:c>
      <x:c r="J8" s="10" t="str">
        <x:v>NOT_VERIFIED</x:v>
      </x:c>
      <x:c r="K8" s="10" t="str">
        <x:v>Public source only; pin1/EP/native footprint UNVERIFIED</x:v>
      </x:c>
      <x:c r="L8" s="10" t="str">
        <x:v>https://www.ti.com/product/SN74LVC595A</x:v>
      </x:c>
      <x:c r="M8" s="10" t="str">
        <x:v>AUTHORIZED_VENDOR_NOT_SELECTED</x:v>
      </x:c>
      <x:c r="N8" s="10" t="str">
        <x:v>NOT_APPROVED_FOR_PROCUREMENT</x:v>
      </x:c>
      <x:c r="O8" s="10" t="str">
        <x:v>Inherited candidate quantity; netlist/thermal review pending</x:v>
      </x:c>
      <x:c r="P8" s="10" t="str">
        <x:v>Texas Instruments</x:v>
      </x:c>
    </x:row>
    <x:row r="9" ht="52" customHeight="1">
      <x:c r="A9" s="10" t="str">
        <x:v>B-005</x:v>
      </x:c>
      <x:c r="B9" s="10" t="str">
        <x:v>SN74AXC8T245PWR</x:v>
      </x:c>
      <x:c r="C9" s="10" t="str">
        <x:v>TSSOP-24</x:v>
      </x:c>
      <x:c r="D9" s="11" t="n">
        <x:v>4</x:v>
      </x:c>
      <x:c r="E9" s="12" t="n">
        <x:v>0.1</x:v>
      </x:c>
      <x:c r="F9" s="11" t="n">
        <x:f>ROUNDUP(D9*(1+E9),0)</x:f>
        <x:v>5</x:v>
      </x:c>
      <x:c r="G9" s="10" t="str">
        <x:v>VCCA/VCCB均不得大于3.6V；根据VCCO放置与计算数量</x:v>
      </x:c>
      <x:c r="H9" s="10"/>
      <x:c r="I9" s="10" t="str">
        <x:v>3V3 ONLY if GPIO; other domains require review</x:v>
      </x:c>
      <x:c r="J9" s="10" t="str">
        <x:v>NOT_VERIFIED</x:v>
      </x:c>
      <x:c r="K9" s="10" t="str">
        <x:v>Public source only; pin1/EP/native footprint UNVERIFIED</x:v>
      </x:c>
      <x:c r="L9" s="10" t="str">
        <x:v>https://www.ti.com/product/SN74AXC8T245</x:v>
      </x:c>
      <x:c r="M9" s="10" t="str">
        <x:v>AUTHORIZED_VENDOR_NOT_SELECTED</x:v>
      </x:c>
      <x:c r="N9" s="10" t="str">
        <x:v>NOT_APPROVED_FOR_PROCUREMENT</x:v>
      </x:c>
      <x:c r="O9" s="10" t="str">
        <x:v>Inherited candidate quantity; netlist/thermal review pending</x:v>
      </x:c>
      <x:c r="P9" s="10" t="str">
        <x:v>Texas Instruments</x:v>
      </x:c>
    </x:row>
    <x:row r="10" ht="52" customHeight="1">
      <x:c r="A10" s="10" t="str">
        <x:v>B-006</x:v>
      </x:c>
      <x:c r="B10" s="10" t="str">
        <x:v>SN74LVC244APWR</x:v>
      </x:c>
      <x:c r="C10" s="10" t="str">
        <x:v>TSSOP-20</x:v>
      </x:c>
      <x:c r="D10" s="11" t="n">
        <x:v>1</x:v>
      </x:c>
      <x:c r="E10" s="12" t="n">
        <x:v>0.1</x:v>
      </x:c>
      <x:c r="F10" s="11" t="n">
        <x:f>ROUNDUP(D10*(1+E10),0)</x:f>
        <x:v>2</x:v>
      </x:c>
      <x:c r="G10" s="10" t="str">
        <x:v>每阵列1颗；4路SRCLK+4路RCLK 需负载证明</x:v>
      </x:c>
      <x:c r="H10" s="10"/>
      <x:c r="I10" s="10" t="str">
        <x:v>3V3 ONLY if GPIO; other domains require review</x:v>
      </x:c>
      <x:c r="J10" s="10" t="str">
        <x:v>NOT_VERIFIED</x:v>
      </x:c>
      <x:c r="K10" s="10" t="str">
        <x:v>Public source only; pin1/EP/native footprint UNVERIFIED</x:v>
      </x:c>
      <x:c r="L10" s="10" t="str">
        <x:v>https://www.ti.com/product/SN74LVC244A</x:v>
      </x:c>
      <x:c r="M10" s="10" t="str">
        <x:v>AUTHORIZED_VENDOR_NOT_SELECTED</x:v>
      </x:c>
      <x:c r="N10" s="10" t="str">
        <x:v>NOT_APPROVED_FOR_PROCUREMENT</x:v>
      </x:c>
      <x:c r="O10" s="10" t="str">
        <x:v>Inherited candidate quantity; netlist/thermal review pending</x:v>
      </x:c>
      <x:c r="P10" s="10" t="str">
        <x:v>Texas Instruments</x:v>
      </x:c>
    </x:row>
    <x:row r="11" ht="52" customHeight="1">
      <x:c r="A11" s="10" t="str">
        <x:v>B-007</x:v>
      </x:c>
      <x:c r="B11" s="10" t="str">
        <x:v>SN74LVC1G32DBVR</x:v>
      </x:c>
      <x:c r="C11" s="10" t="str">
        <x:v>SOT-23-5</x:v>
      </x:c>
      <x:c r="D11" s="11" t="n">
        <x:v>1</x:v>
      </x:c>
      <x:c r="E11" s="12" t="n">
        <x:v>0.1</x:v>
      </x:c>
      <x:c r="F11" s="11" t="n">
        <x:f>ROUNDUP(D11*(1+E11),0)</x:f>
        <x:v>2</x:v>
      </x:c>
      <x:c r="G11" s="10" t="str">
        <x:v>OE fail-high 组合/拉起，逻辑需核验</x:v>
      </x:c>
      <x:c r="H11" s="10"/>
      <x:c r="I11" s="10" t="str">
        <x:v>3V3 ONLY if GPIO; other domains require review</x:v>
      </x:c>
      <x:c r="J11" s="10" t="str">
        <x:v>NOT_VERIFIED</x:v>
      </x:c>
      <x:c r="K11" s="10" t="str">
        <x:v>Public source only; pin1/EP/native footprint UNVERIFIED</x:v>
      </x:c>
      <x:c r="L11" s="10" t="str">
        <x:v>https://www.ti.com/product/SN74LVC1G32</x:v>
      </x:c>
      <x:c r="M11" s="10" t="str">
        <x:v>AUTHORIZED_VENDOR_NOT_SELECTED</x:v>
      </x:c>
      <x:c r="N11" s="10" t="str">
        <x:v>NOT_APPROVED_FOR_PROCUREMENT</x:v>
      </x:c>
      <x:c r="O11" s="10" t="str">
        <x:v>Inherited candidate quantity; netlist/thermal review pending</x:v>
      </x:c>
      <x:c r="P11" s="10" t="str">
        <x:v>Texas Instruments</x:v>
      </x:c>
    </x:row>
    <x:row r="12" ht="52" customHeight="1">
      <x:c r="A12" s="10" t="str">
        <x:v>B-008</x:v>
      </x:c>
      <x:c r="B12" s="10" t="str">
        <x:v>TLV803 / TPS3839 类（需定料）</x:v>
      </x:c>
      <x:c r="C12" s="10" t="str">
        <x:v>SOT-23 TBD</x:v>
      </x:c>
      <x:c r="D12" s="11" t="n">
        <x:v>1</x:v>
      </x:c>
      <x:c r="E12" s="12" t="n">
        <x:v>0.1</x:v>
      </x:c>
      <x:c r="F12" s="11" t="n">
        <x:f>ROUNDUP(D12*(1+E12),0)</x:f>
        <x:v>2</x:v>
      </x:c>
      <x:c r="G12" s="10" t="str">
        <x:v>监测各板本地3.3V；独立硬件复位/禁能</x:v>
      </x:c>
      <x:c r="H12" s="10"/>
      <x:c r="I12" s="10" t="str">
        <x:v>3V3 ONLY if GPIO; other domains require review</x:v>
      </x:c>
      <x:c r="J12" s="10" t="str">
        <x:v>NOT_VERIFIED</x:v>
      </x:c>
      <x:c r="K12" s="10" t="str">
        <x:v>Public source only; pin1/EP/native footprint UNVERIFIED</x:v>
      </x:c>
      <x:c r="L12" s="10" t="str">
        <x:v>https://www.ti.com/product/TPS3839</x:v>
      </x:c>
      <x:c r="M12" s="10" t="str">
        <x:v>AUTHORIZED_VENDOR_NOT_SELECTED</x:v>
      </x:c>
      <x:c r="N12" s="10" t="str">
        <x:v>NOT_APPROVED_FOR_PROCUREMENT</x:v>
      </x:c>
      <x:c r="O12" s="10" t="str">
        <x:v>Inherited candidate quantity; netlist/thermal review pending</x:v>
      </x:c>
      <x:c r="P12" s="10" t="str">
        <x:v>Texas Instruments</x:v>
      </x:c>
    </x:row>
    <x:row r="13" ht="52" customHeight="1">
      <x:c r="A13" s="10" t="str">
        <x:v>B-009</x:v>
      </x:c>
      <x:c r="B13" s="10" t="str">
        <x:v>TPS3430 类（需定料）</x:v>
      </x:c>
      <x:c r="C13" s="10" t="str">
        <x:v>TBD</x:v>
      </x:c>
      <x:c r="D13" s="11" t="n">
        <x:v>1</x:v>
      </x:c>
      <x:c r="E13" s="12" t="n">
        <x:v>0.1</x:v>
      </x:c>
      <x:c r="F13" s="11" t="n">
        <x:f>ROUNDUP(D13*(1+E13),0)</x:f>
        <x:v>2</x:v>
      </x:c>
      <x:c r="G13" s="10" t="str">
        <x:v>EN必须由本地心跳与PGOOD共同允许；不可仅FPGA软件控制</x:v>
      </x:c>
      <x:c r="H13" s="10"/>
      <x:c r="I13" s="10" t="str">
        <x:v>3V3 ONLY if GPIO; other domains require review</x:v>
      </x:c>
      <x:c r="J13" s="10" t="str">
        <x:v>NOT_VERIFIED</x:v>
      </x:c>
      <x:c r="K13" s="10" t="str">
        <x:v>Public source only; pin1/EP/native footprint UNVERIFIED</x:v>
      </x:c>
      <x:c r="L13" s="10" t="str">
        <x:v>https://www.ti.com/product/TPS3430</x:v>
      </x:c>
      <x:c r="M13" s="10" t="str">
        <x:v>AUTHORIZED_VENDOR_NOT_SELECTED</x:v>
      </x:c>
      <x:c r="N13" s="10" t="str">
        <x:v>NOT_APPROVED_FOR_PROCUREMENT</x:v>
      </x:c>
      <x:c r="O13" s="10" t="str">
        <x:v>Inherited candidate quantity; netlist/thermal review pending</x:v>
      </x:c>
      <x:c r="P13" s="10" t="str">
        <x:v>Texas Instruments</x:v>
      </x:c>
    </x:row>
    <x:row r="14" ht="52" customHeight="1">
      <x:c r="A14" s="10" t="str">
        <x:v>B-010</x:v>
      </x:c>
      <x:c r="B14" s="10" t="str">
        <x:v>TMUX1574PWR</x:v>
      </x:c>
      <x:c r="C14" s="10" t="str">
        <x:v>TSSOP-16</x:v>
      </x:c>
      <x:c r="D14" s="11" t="n">
        <x:v>1</x:v>
      </x:c>
      <x:c r="E14" s="12" t="n">
        <x:v>0.1</x:v>
      </x:c>
      <x:c r="F14" s="11" t="n">
        <x:f>ROUNDUP(D14*(1+E14),0)</x:f>
        <x:v>2</x:v>
      </x:c>
      <x:c r="G14" s="10" t="str">
        <x:v>每板4 RX通道；空白期切到静态偏置</x:v>
      </x:c>
      <x:c r="H14" s="10"/>
      <x:c r="I14" s="10" t="str">
        <x:v>3V3 ONLY if GPIO; other domains require review</x:v>
      </x:c>
      <x:c r="J14" s="10" t="str">
        <x:v>NOT_VERIFIED</x:v>
      </x:c>
      <x:c r="K14" s="10" t="str">
        <x:v>Public source only; pin1/EP/native footprint UNVERIFIED</x:v>
      </x:c>
      <x:c r="L14" s="10" t="str">
        <x:v>https://www.ti.com/product/TMUX1574</x:v>
      </x:c>
      <x:c r="M14" s="10" t="str">
        <x:v>AUTHORIZED_VENDOR_NOT_SELECTED</x:v>
      </x:c>
      <x:c r="N14" s="10" t="str">
        <x:v>NOT_APPROVED_FOR_PROCUREMENT</x:v>
      </x:c>
      <x:c r="O14" s="10" t="str">
        <x:v>Inherited candidate quantity; netlist/thermal review pending</x:v>
      </x:c>
      <x:c r="P14" s="10" t="str">
        <x:v>Texas Instruments</x:v>
      </x:c>
    </x:row>
    <x:row r="15" ht="52" customHeight="1">
      <x:c r="A15" s="10" t="str">
        <x:v>B-011</x:v>
      </x:c>
      <x:c r="B15" s="10" t="str">
        <x:v>OPA4192IPWR</x:v>
      </x:c>
      <x:c r="C15" s="10" t="str">
        <x:v>TSSOP-14</x:v>
      </x:c>
      <x:c r="D15" s="11" t="n">
        <x:v>2</x:v>
      </x:c>
      <x:c r="E15" s="12" t="n">
        <x:v>0.1</x:v>
      </x:c>
      <x:c r="F15" s="11" t="n">
        <x:f>ROUNDUP(D15*(1+E15),0)</x:f>
        <x:v>3</x:v>
      </x:c>
      <x:c r="G15" s="10" t="str">
        <x:v>每个RX两级，合计16运放单元</x:v>
      </x:c>
      <x:c r="H15" s="10"/>
      <x:c r="I15" s="10" t="str">
        <x:v>3V3 ONLY if GPIO; other domains require review</x:v>
      </x:c>
      <x:c r="J15" s="10" t="str">
        <x:v>NOT_VERIFIED</x:v>
      </x:c>
      <x:c r="K15" s="10" t="str">
        <x:v>Public source only; pin1/EP/native footprint UNVERIFIED</x:v>
      </x:c>
      <x:c r="L15" s="10" t="str">
        <x:v>https://www.ti.com/product/OPA4192</x:v>
      </x:c>
      <x:c r="M15" s="10" t="str">
        <x:v>AUTHORIZED_VENDOR_NOT_SELECTED</x:v>
      </x:c>
      <x:c r="N15" s="10" t="str">
        <x:v>NOT_APPROVED_FOR_PROCUREMENT</x:v>
      </x:c>
      <x:c r="O15" s="10" t="str">
        <x:v>Inherited candidate quantity; netlist/thermal review pending</x:v>
      </x:c>
      <x:c r="P15" s="10" t="str">
        <x:v>Texas Instruments</x:v>
      </x:c>
    </x:row>
    <x:row r="16" ht="52" customHeight="1">
      <x:c r="A16" s="10" t="str">
        <x:v>B-012</x:v>
      </x:c>
      <x:c r="B16" s="10" t="str">
        <x:v>REF5025AIDR</x:v>
      </x:c>
      <x:c r="C16" s="10" t="str">
        <x:v>SOIC-8</x:v>
      </x:c>
      <x:c r="D16" s="11" t="n">
        <x:v>1</x:v>
      </x:c>
      <x:c r="E16" s="12" t="n">
        <x:v>0.1</x:v>
      </x:c>
      <x:c r="F16" s="11" t="n">
        <x:f>ROUNDUP(D16*(1+E16),0)</x:f>
        <x:v>2</x:v>
      </x:c>
      <x:c r="G16" s="10" t="str">
        <x:v>各板一颗；ADC内部基准另按AD7606B约束</x:v>
      </x:c>
      <x:c r="H16" s="10"/>
      <x:c r="I16" s="10" t="str">
        <x:v>3V3 ONLY if GPIO; other domains require review</x:v>
      </x:c>
      <x:c r="J16" s="10" t="str">
        <x:v>NOT_VERIFIED</x:v>
      </x:c>
      <x:c r="K16" s="10" t="str">
        <x:v>Public source only; pin1/EP/native footprint UNVERIFIED</x:v>
      </x:c>
      <x:c r="L16" s="10" t="str">
        <x:v>https://www.ti.com/product/REF5025</x:v>
      </x:c>
      <x:c r="M16" s="10" t="str">
        <x:v>AUTHORIZED_VENDOR_NOT_SELECTED</x:v>
      </x:c>
      <x:c r="N16" s="10" t="str">
        <x:v>NOT_APPROVED_FOR_PROCUREMENT</x:v>
      </x:c>
      <x:c r="O16" s="10" t="str">
        <x:v>Inherited candidate quantity; netlist/thermal review pending</x:v>
      </x:c>
      <x:c r="P16" s="10" t="str">
        <x:v>Texas Instruments</x:v>
      </x:c>
    </x:row>
    <x:row r="17" ht="52" customHeight="1">
      <x:c r="A17" s="10" t="str">
        <x:v>B-013</x:v>
      </x:c>
      <x:c r="B17" s="10" t="str">
        <x:v>BAT54S</x:v>
      </x:c>
      <x:c r="C17" s="10" t="str">
        <x:v>SOT-23</x:v>
      </x:c>
      <x:c r="D17" s="11" t="n">
        <x:v>4</x:v>
      </x:c>
      <x:c r="E17" s="12" t="n">
        <x:v>0.1</x:v>
      </x:c>
      <x:c r="F17" s="11" t="n">
        <x:f>ROUNDUP(D17*(1+E17),0)</x:f>
        <x:v>5</x:v>
      </x:c>
      <x:c r="G17" s="10" t="str">
        <x:v>每RX一路</x:v>
      </x:c>
      <x:c r="H17" s="10"/>
      <x:c r="I17" s="10" t="str">
        <x:v>3V3 ONLY if GPIO; other domains require review</x:v>
      </x:c>
      <x:c r="J17" s="10" t="str">
        <x:v>NOT_VERIFIED</x:v>
      </x:c>
      <x:c r="K17" s="10" t="str">
        <x:v>Public source only; pin1/EP/native footprint UNVERIFIED</x:v>
      </x:c>
      <x:c r="L17" s="10" t="str">
        <x:v>https://www.lcsc.com</x:v>
      </x:c>
      <x:c r="M17" s="10" t="str">
        <x:v>AUTHORIZED_VENDOR_NOT_SELECTED</x:v>
      </x:c>
      <x:c r="N17" s="10" t="str">
        <x:v>NOT_APPROVED_FOR_PROCUREMENT</x:v>
      </x:c>
      <x:c r="O17" s="10" t="str">
        <x:v>Inherited candidate quantity; netlist/thermal review pending</x:v>
      </x:c>
      <x:c r="P17" s="10" t="str">
        <x:v>UNKNOWN; vendor evidence required</x:v>
      </x:c>
    </x:row>
    <x:row r="18" ht="52" customHeight="1">
      <x:c r="A18" s="10" t="str">
        <x:v>B-018</x:v>
      </x:c>
      <x:c r="B18" s="10" t="str">
        <x:v>XT30PW-M30.G.Y</x:v>
      </x:c>
      <x:c r="C18" s="10" t="str">
        <x:v>THT</x:v>
      </x:c>
      <x:c r="D18" s="11" t="n">
        <x:v>1</x:v>
      </x:c>
      <x:c r="E18" s="12" t="n">
        <x:v>0.1</x:v>
      </x:c>
      <x:c r="F18" s="11" t="n">
        <x:f>ROUNDUP(D18*(1+E18),0)</x:f>
        <x:v>2</x:v>
      </x:c>
      <x:c r="G18" s="10" t="str">
        <x:v>每阵列专属PWR_UP_IN/PWR_LO_IN；不得从J10/J11取功率</x:v>
      </x:c>
      <x:c r="H18" s="10"/>
      <x:c r="I18" s="10" t="str">
        <x:v>3V3 ONLY if GPIO; other domains require review</x:v>
      </x:c>
      <x:c r="J18" s="10" t="str">
        <x:v>NOT_VERIFIED</x:v>
      </x:c>
      <x:c r="K18" s="10" t="str">
        <x:v>Public source only; pin1/EP/native footprint UNVERIFIED</x:v>
      </x:c>
      <x:c r="L18" s="10" t="str">
        <x:v>https://www.lcsc.com</x:v>
      </x:c>
      <x:c r="M18" s="10" t="str">
        <x:v>AUTHORIZED_VENDOR_NOT_SELECTED</x:v>
      </x:c>
      <x:c r="N18" s="10" t="str">
        <x:v>NOT_APPROVED_FOR_PROCUREMENT</x:v>
      </x:c>
      <x:c r="O18" s="10" t="str">
        <x:v>Inherited candidate quantity; netlist/thermal review pending</x:v>
      </x:c>
      <x:c r="P18" s="10" t="str">
        <x:v>UNKNOWN; vendor evidence required</x:v>
      </x:c>
    </x:row>
    <x:row r="19" ht="52" customHeight="1">
      <x:c r="A19" s="10" t="str">
        <x:v>B-020</x:v>
      </x:c>
      <x:c r="B19" s="10" t="str">
        <x:v>TPS259470LRPWR</x:v>
      </x:c>
      <x:c r="C19" s="10" t="str">
        <x:v>VQFN-10</x:v>
      </x:c>
      <x:c r="D19" s="11" t="n">
        <x:v>1</x:v>
      </x:c>
      <x:c r="E19" s="12" t="n">
        <x:v>0.1</x:v>
      </x:c>
      <x:c r="F19" s="11" t="n">
        <x:f>ROUNDUP(D19*(1+E19),0)</x:f>
        <x:v>2</x:v>
      </x:c>
      <x:c r="G19" s="10" t="str">
        <x:v>三路电源各自配置ILIM/OVLO；历史2A只是候选</x:v>
      </x:c>
      <x:c r="H19" s="10"/>
      <x:c r="I19" s="10" t="str">
        <x:v>3V3 ONLY if GPIO; other domains require review</x:v>
      </x:c>
      <x:c r="J19" s="10" t="str">
        <x:v>NOT_VERIFIED</x:v>
      </x:c>
      <x:c r="K19" s="10" t="str">
        <x:v>Public source only; pin1/EP/native footprint UNVERIFIED</x:v>
      </x:c>
      <x:c r="L19" s="10" t="str">
        <x:v>https://www.ti.com/product/TPS25947</x:v>
      </x:c>
      <x:c r="M19" s="10" t="str">
        <x:v>AUTHORIZED_VENDOR_NOT_SELECTED</x:v>
      </x:c>
      <x:c r="N19" s="10" t="str">
        <x:v>NOT_APPROVED_FOR_PROCUREMENT</x:v>
      </x:c>
      <x:c r="O19" s="10" t="str">
        <x:v>Inherited candidate quantity; netlist/thermal review pending</x:v>
      </x:c>
      <x:c r="P19" s="10" t="str">
        <x:v>Texas Instruments</x:v>
      </x:c>
    </x:row>
    <x:row r="20" ht="52" customHeight="1">
      <x:c r="A20" s="10" t="str">
        <x:v>B-021</x:v>
      </x:c>
      <x:c r="B20" s="10" t="str">
        <x:v>INA226AIDGSR</x:v>
      </x:c>
      <x:c r="C20" s="10" t="str">
        <x:v>VSSOP-10</x:v>
      </x:c>
      <x:c r="D20" s="11" t="n">
        <x:v>1</x:v>
      </x:c>
      <x:c r="E20" s="12" t="n">
        <x:v>0.1</x:v>
      </x:c>
      <x:c r="F20" s="11" t="n">
        <x:f>ROUNDUP(D20*(1+E20),0)</x:f>
        <x:v>2</x:v>
      </x:c>
      <x:c r="G20" s="10" t="str">
        <x:v>两阵列+中央各一颗，shunt实际功耗需核算</x:v>
      </x:c>
      <x:c r="H20" s="10"/>
      <x:c r="I20" s="10" t="str">
        <x:v>3V3 ONLY if GPIO; other domains require review</x:v>
      </x:c>
      <x:c r="J20" s="10" t="str">
        <x:v>NOT_VERIFIED</x:v>
      </x:c>
      <x:c r="K20" s="10" t="str">
        <x:v>Public source only; pin1/EP/native footprint UNVERIFIED</x:v>
      </x:c>
      <x:c r="L20" s="10" t="str">
        <x:v>https://www.ti.com/product/INA226</x:v>
      </x:c>
      <x:c r="M20" s="10" t="str">
        <x:v>AUTHORIZED_VENDOR_NOT_SELECTED</x:v>
      </x:c>
      <x:c r="N20" s="10" t="str">
        <x:v>NOT_APPROVED_FOR_PROCUREMENT</x:v>
      </x:c>
      <x:c r="O20" s="10" t="str">
        <x:v>Inherited candidate quantity; netlist/thermal review pending</x:v>
      </x:c>
      <x:c r="P20" s="10" t="str">
        <x:v>Texas Instruments</x:v>
      </x:c>
    </x:row>
    <x:row r="21" ht="52" customHeight="1">
      <x:c r="A21" s="10" t="str">
        <x:v>B-022</x:v>
      </x:c>
      <x:c r="B21" s="10" t="str">
        <x:v>20mΩ 2512 1% 2W</x:v>
      </x:c>
      <x:c r="C21" s="10" t="str">
        <x:v>2512</x:v>
      </x:c>
      <x:c r="D21" s="11" t="n">
        <x:v>1</x:v>
      </x:c>
      <x:c r="E21" s="12" t="n">
        <x:v>0.1</x:v>
      </x:c>
      <x:c r="F21" s="11" t="n">
        <x:f>ROUNDUP(D21*(1+E21),0)</x:f>
        <x:v>2</x:v>
      </x:c>
      <x:c r="G21" s="10" t="str">
        <x:v>20mΩ：INA226电流测量满量程约±4.096A</x:v>
      </x:c>
      <x:c r="H21" s="10"/>
      <x:c r="I21" s="10" t="str">
        <x:v>3V3 ONLY if GPIO; other domains require review</x:v>
      </x:c>
      <x:c r="J21" s="10" t="str">
        <x:v>NOT_VERIFIED</x:v>
      </x:c>
      <x:c r="K21" s="10" t="str">
        <x:v>Public source only; pin1/EP/native footprint UNVERIFIED</x:v>
      </x:c>
      <x:c r="L21" s="10" t="str">
        <x:v>https://www.lcsc.com</x:v>
      </x:c>
      <x:c r="M21" s="10" t="str">
        <x:v>AUTHORIZED_VENDOR_NOT_SELECTED</x:v>
      </x:c>
      <x:c r="N21" s="10" t="str">
        <x:v>NOT_APPROVED_FOR_PROCUREMENT</x:v>
      </x:c>
      <x:c r="O21" s="10" t="str">
        <x:v>Inherited candidate quantity; netlist/thermal review pending</x:v>
      </x:c>
      <x:c r="P21" s="10" t="str">
        <x:v>UNKNOWN; vendor evidence required</x:v>
      </x:c>
    </x:row>
    <x:row r="22" ht="52" customHeight="1">
      <x:c r="A22" s="10" t="str">
        <x:v>B-023</x:v>
      </x:c>
      <x:c r="B22" s="10" t="str">
        <x:v>SMBJ20A 类</x:v>
      </x:c>
      <x:c r="C22" s="10" t="str">
        <x:v>SMB</x:v>
      </x:c>
      <x:c r="D22" s="11" t="n">
        <x:v>1</x:v>
      </x:c>
      <x:c r="E22" s="12" t="n">
        <x:v>0.1</x:v>
      </x:c>
      <x:c r="F22" s="11" t="n">
        <x:f>ROUNDUP(D22*(1+E22),0)</x:f>
        <x:v>2</x:v>
      </x:c>
      <x:c r="G22" s="10" t="str">
        <x:v>SMBJ20A候选撤销释放；32.4V钳位高于eFuse28V abs max</x:v>
      </x:c>
      <x:c r="H22" s="10"/>
      <x:c r="I22" s="10" t="str">
        <x:v>3V3 ONLY if GPIO; other domains require review</x:v>
      </x:c>
      <x:c r="J22" s="10" t="str">
        <x:v>NOT_VERIFIED</x:v>
      </x:c>
      <x:c r="K22" s="10" t="str">
        <x:v>Public source only; pin1/EP/native footprint UNVERIFIED</x:v>
      </x:c>
      <x:c r="L22" s="10" t="str">
        <x:v>https://www.littelfuse.com/products/tvs-diodes/smbj.aspx</x:v>
      </x:c>
      <x:c r="M22" s="10" t="str">
        <x:v>AUTHORIZED_VENDOR_NOT_SELECTED</x:v>
      </x:c>
      <x:c r="N22" s="10" t="str">
        <x:v>NOT_APPROVED_FOR_PROCUREMENT</x:v>
      </x:c>
      <x:c r="O22" s="10" t="str">
        <x:v>SMBJ20A protection coordination OPEN; cannot release</x:v>
      </x:c>
      <x:c r="P22" s="10" t="str">
        <x:v>UNKNOWN; vendor evidence required</x:v>
      </x:c>
    </x:row>
    <x:row r="23" ht="52" customHeight="1">
      <x:c r="A23" s="10" t="str">
        <x:v>B-024</x:v>
      </x:c>
      <x:c r="B23" s="10" t="str">
        <x:v>2A 慢断候选，具体值TBD</x:v>
      </x:c>
      <x:c r="C23" s="10" t="str">
        <x:v>TBD</x:v>
      </x:c>
      <x:c r="D23" s="11" t="n">
        <x:v>1</x:v>
      </x:c>
      <x:c r="E23" s="12" t="n">
        <x:v>0.1</x:v>
      </x:c>
      <x:c r="F23" s="11" t="n">
        <x:f>ROUNDUP(D23*(1+E23),0)</x:f>
        <x:v>2</x:v>
      </x:c>
      <x:c r="G23" s="10" t="str">
        <x:v>3路/需按实测峰值选值</x:v>
      </x:c>
      <x:c r="H23" s="10"/>
      <x:c r="I23" s="10" t="str">
        <x:v>3V3 ONLY if GPIO; other domains require review</x:v>
      </x:c>
      <x:c r="J23" s="10" t="str">
        <x:v>NOT_VERIFIED</x:v>
      </x:c>
      <x:c r="K23" s="10" t="str">
        <x:v>Public source only; pin1/EP/native footprint UNVERIFIED</x:v>
      </x:c>
      <x:c r="L23" s="10" t="str">
        <x:v>https://www.lcsc.com</x:v>
      </x:c>
      <x:c r="M23" s="10" t="str">
        <x:v>AUTHORIZED_VENDOR_NOT_SELECTED</x:v>
      </x:c>
      <x:c r="N23" s="10" t="str">
        <x:v>NOT_APPROVED_FOR_PROCUREMENT</x:v>
      </x:c>
      <x:c r="O23" s="10" t="str">
        <x:v>Inherited candidate quantity; netlist/thermal review pending</x:v>
      </x:c>
      <x:c r="P23" s="10" t="str">
        <x:v>UNKNOWN; vendor evidence required</x:v>
      </x:c>
    </x:row>
    <x:row r="24" ht="52" customHeight="1">
      <x:c r="A24" s="10" t="str">
        <x:v>B-025</x:v>
      </x:c>
      <x:c r="B24" s="10" t="str">
        <x:v>E-STOP接口 + NC触点/继电开关待定</x:v>
      </x:c>
      <x:c r="C24" s="10" t="str">
        <x:v>TBD</x:v>
      </x:c>
      <x:c r="D24" s="11" t="n">
        <x:v>1</x:v>
      </x:c>
      <x:c r="E24" s="12" t="n">
        <x:v>0.1</x:v>
      </x:c>
      <x:c r="F24" s="11" t="n">
        <x:f>ROUNDUP(D24*(1+E24),0)</x:f>
        <x:v>2</x:v>
      </x:c>
      <x:c r="G24" s="10" t="str">
        <x:v>硬件切断driver enable或电源域，二选一/组合实测</x:v>
      </x:c>
      <x:c r="H24" s="10"/>
      <x:c r="I24" s="10" t="str">
        <x:v>3V3 ONLY if GPIO; other domains require review</x:v>
      </x:c>
      <x:c r="J24" s="10" t="str">
        <x:v>NOT_VERIFIED</x:v>
      </x:c>
      <x:c r="K24" s="10" t="str">
        <x:v>Public source only; pin1/EP/native footprint UNVERIFIED</x:v>
      </x:c>
      <x:c r="L24" s="10" t="str">
        <x:v>https://www.ti.com/product/TPS25947</x:v>
      </x:c>
      <x:c r="M24" s="10" t="str">
        <x:v>AUTHORIZED_VENDOR_NOT_SELECTED</x:v>
      </x:c>
      <x:c r="N24" s="10" t="str">
        <x:v>NOT_APPROVED_FOR_PROCUREMENT</x:v>
      </x:c>
      <x:c r="O24" s="10" t="str">
        <x:v>Inherited candidate quantity; netlist/thermal review pending</x:v>
      </x:c>
      <x:c r="P24" s="10" t="str">
        <x:v>Texas Instruments</x:v>
      </x:c>
    </x:row>
    <x:row r="25" ht="52" customHeight="1">
      <x:c r="A25" s="10" t="str">
        <x:v>B-026</x:v>
      </x:c>
      <x:c r="B25" s="10" t="str">
        <x:v>开漏/拉升/隔离网络 TBD</x:v>
      </x:c>
      <x:c r="C25" s="10" t="str">
        <x:v>离散</x:v>
      </x:c>
      <x:c r="D25" s="11" t="n">
        <x:v>1</x:v>
      </x:c>
      <x:c r="E25" s="12" t="n">
        <x:v>0.1</x:v>
      </x:c>
      <x:c r="F25" s="11" t="n">
        <x:f>ROUNDUP(D25*(1+E25),0)</x:f>
        <x:v>2</x:v>
      </x:c>
      <x:c r="G25" s="10" t="str">
        <x:v>每板输出LOCAL_PGOOD/LOCAL_FAULT</x:v>
      </x:c>
      <x:c r="H25" s="10"/>
      <x:c r="I25" s="10" t="str">
        <x:v>3V3 ONLY if GPIO; other domains require review</x:v>
      </x:c>
      <x:c r="J25" s="10" t="str">
        <x:v>NOT_VERIFIED</x:v>
      </x:c>
      <x:c r="K25" s="10" t="str">
        <x:v>Public source only; pin1/EP/native footprint UNVERIFIED</x:v>
      </x:c>
      <x:c r="L25" s="10" t="str">
        <x:v>https://www.ti.com/product/SN74AXC8T245</x:v>
      </x:c>
      <x:c r="M25" s="10" t="str">
        <x:v>AUTHORIZED_VENDOR_NOT_SELECTED</x:v>
      </x:c>
      <x:c r="N25" s="10" t="str">
        <x:v>NOT_APPROVED_FOR_PROCUREMENT</x:v>
      </x:c>
      <x:c r="O25" s="10" t="str">
        <x:v>Inherited candidate quantity; netlist/thermal review pending</x:v>
      </x:c>
      <x:c r="P25" s="10" t="str">
        <x:v>Texas Instruments</x:v>
      </x:c>
    </x:row>
    <x:row r="26" ht="52" customHeight="1">
      <x:c r="A26" s="10" t="str">
        <x:v>B-027</x:v>
      </x:c>
      <x:c r="B26" s="10" t="str">
        <x:v>AP63203WU-7</x:v>
      </x:c>
      <x:c r="C26" s="10" t="str">
        <x:v>TSOT-26</x:v>
      </x:c>
      <x:c r="D26" s="11" t="n">
        <x:v>1</x:v>
      </x:c>
      <x:c r="E26" s="12" t="n">
        <x:v>0.1</x:v>
      </x:c>
      <x:c r="F26" s="11" t="n">
        <x:f>ROUNDUP(D26*(1+E26),0)</x:f>
        <x:v>2</x:v>
      </x:c>
      <x:c r="G26" s="10" t="str">
        <x:v>每板12V→3.3V；负载核验</x:v>
      </x:c>
      <x:c r="H26" s="10"/>
      <x:c r="I26" s="10" t="str">
        <x:v>3V3 ONLY if GPIO; other domains require review</x:v>
      </x:c>
      <x:c r="J26" s="10" t="str">
        <x:v>NOT_VERIFIED</x:v>
      </x:c>
      <x:c r="K26" s="10" t="str">
        <x:v>Public source only; pin1/EP/native footprint UNVERIFIED</x:v>
      </x:c>
      <x:c r="L26" s="10" t="str">
        <x:v>https://www.diodes.com/part/view/AP63203</x:v>
      </x:c>
      <x:c r="M26" s="10" t="str">
        <x:v>AUTHORIZED_VENDOR_NOT_SELECTED</x:v>
      </x:c>
      <x:c r="N26" s="10" t="str">
        <x:v>NOT_APPROVED_FOR_PROCUREMENT</x:v>
      </x:c>
      <x:c r="O26" s="10" t="str">
        <x:v>No central12V supply/converter or5V-to5V LDO headroom; central header budget HOLD</x:v>
      </x:c>
      <x:c r="P26" s="10" t="str">
        <x:v>UNKNOWN; vendor evidence required</x:v>
      </x:c>
    </x:row>
    <x:row r="27" ht="52" customHeight="1">
      <x:c r="A27" s="10" t="str">
        <x:v>B-028</x:v>
      </x:c>
      <x:c r="B27" s="10" t="str">
        <x:v>AP63200WU-7</x:v>
      </x:c>
      <x:c r="C27" s="10" t="str">
        <x:v>TSOT-26</x:v>
      </x:c>
      <x:c r="D27" s="11" t="n">
        <x:v>1</x:v>
      </x:c>
      <x:c r="E27" s="12" t="n">
        <x:v>0.1</x:v>
      </x:c>
      <x:c r="F27" s="11" t="n">
        <x:f>ROUNDUP(D27*(1+E27),0)</x:f>
        <x:v>2</x:v>
      </x:c>
      <x:c r="G27" s="10" t="str">
        <x:v>5.5V预稳压+5V LDO；按实际负载核验</x:v>
      </x:c>
      <x:c r="H27" s="10"/>
      <x:c r="I27" s="10" t="str">
        <x:v>3V3 ONLY if GPIO; other domains require review</x:v>
      </x:c>
      <x:c r="J27" s="10" t="str">
        <x:v>NOT_VERIFIED</x:v>
      </x:c>
      <x:c r="K27" s="10" t="str">
        <x:v>Public source only; pin1/EP/native footprint UNVERIFIED</x:v>
      </x:c>
      <x:c r="L27" s="10" t="str">
        <x:v>https://www.diodes.com/part/view/AP63200</x:v>
      </x:c>
      <x:c r="M27" s="10" t="str">
        <x:v>AUTHORIZED_VENDOR_NOT_SELECTED</x:v>
      </x:c>
      <x:c r="N27" s="10" t="str">
        <x:v>NOT_APPROVED_FOR_PROCUREMENT</x:v>
      </x:c>
      <x:c r="O27" s="10" t="str">
        <x:v>No central12V supply/converter or5V-to5V LDO headroom; central header budget HOLD</x:v>
      </x:c>
      <x:c r="P27" s="10" t="str">
        <x:v>UNKNOWN; vendor evidence required</x:v>
      </x:c>
    </x:row>
    <x:row r="28" ht="52" customHeight="1">
      <x:c r="A28" s="10" t="str">
        <x:v>B-029</x:v>
      </x:c>
      <x:c r="B28" s="10" t="str">
        <x:v>ADP7118ACPZN5.0-R7</x:v>
      </x:c>
      <x:c r="C28" s="10" t="str">
        <x:v>LFCSP-6 / CP-6-3 (EP=GND)</x:v>
      </x:c>
      <x:c r="D28" s="11" t="n">
        <x:v>1</x:v>
      </x:c>
      <x:c r="E28" s="12" t="n">
        <x:v>0.1</x:v>
      </x:c>
      <x:c r="F28" s="11" t="n">
        <x:f>ROUNDUP(D28*(1+E28),0)</x:f>
        <x:v>2</x:v>
      </x:c>
      <x:c r="G28" s="10" t="str">
        <x:v>输出能力/热耗按精确封装与Iload审核</x:v>
      </x:c>
      <x:c r="H28" s="10"/>
      <x:c r="I28" s="10" t="str">
        <x:v>3V3 ONLY if GPIO; other domains require review</x:v>
      </x:c>
      <x:c r="J28" s="10" t="str">
        <x:v>NOT_VERIFIED</x:v>
      </x:c>
      <x:c r="K28" s="10" t="str">
        <x:v>Public source only; pin1/EP/native footprint UNVERIFIED</x:v>
      </x:c>
      <x:c r="L28" s="10" t="str">
        <x:v>https://www.analog.com/en/products/adp7118.html</x:v>
      </x:c>
      <x:c r="M28" s="10" t="str">
        <x:v>AUTHORIZED_VENDOR_NOT_SELECTED</x:v>
      </x:c>
      <x:c r="N28" s="10" t="str">
        <x:v>NOT_APPROVED_FOR_PROCUREMENT</x:v>
      </x:c>
      <x:c r="O28" s="10" t="str">
        <x:v>No central12V supply/converter or5V-to5V LDO headroom; central header budget HOLD</x:v>
      </x:c>
      <x:c r="P28" s="10" t="str">
        <x:v>Analog Devices</x:v>
      </x:c>
    </x:row>
    <x:row r="29" ht="52" customHeight="1">
      <x:c r="A29" s="10" t="str">
        <x:v>B-030</x:v>
      </x:c>
      <x:c r="B29" s="10" t="str">
        <x:v>6.8µH ≥5A 候选</x:v>
      </x:c>
      <x:c r="C29" s="10" t="str">
        <x:v>SMD</x:v>
      </x:c>
      <x:c r="D29" s="11" t="n">
        <x:v>2</x:v>
      </x:c>
      <x:c r="E29" s="12" t="n">
        <x:v>0.1</x:v>
      </x:c>
      <x:c r="F29" s="11" t="n">
        <x:f>ROUNDUP(D29*(1+E29),0)</x:f>
        <x:v>3</x:v>
      </x:c>
      <x:c r="G29" s="10" t="str">
        <x:v>两路buck每板2颗</x:v>
      </x:c>
      <x:c r="H29" s="10"/>
      <x:c r="I29" s="10" t="str">
        <x:v>3V3 ONLY if GPIO; other domains require review</x:v>
      </x:c>
      <x:c r="J29" s="10" t="str">
        <x:v>NOT_VERIFIED</x:v>
      </x:c>
      <x:c r="K29" s="10" t="str">
        <x:v>Public source only; pin1/EP/native footprint UNVERIFIED</x:v>
      </x:c>
      <x:c r="L29" s="10" t="str">
        <x:v>https://www.diodes.com/part/view/AP63203</x:v>
      </x:c>
      <x:c r="M29" s="10" t="str">
        <x:v>AUTHORIZED_VENDOR_NOT_SELECTED</x:v>
      </x:c>
      <x:c r="N29" s="10" t="str">
        <x:v>NOT_APPROVED_FOR_PROCUREMENT</x:v>
      </x:c>
      <x:c r="O29" s="10" t="str">
        <x:v>No central12V supply/converter or5V-to5V LDO headroom; central header budget HOLD</x:v>
      </x:c>
      <x:c r="P29" s="10" t="str">
        <x:v>UNKNOWN; vendor evidence required</x:v>
      </x:c>
    </x:row>
    <x:row r="30" ht="52" customHeight="1">
      <x:c r="A30" s="10" t="str">
        <x:v>B-031</x:v>
      </x:c>
      <x:c r="B30" s="10" t="str">
        <x:v>BLM21PG221SN1D</x:v>
      </x:c>
      <x:c r="C30" s="10" t="str">
        <x:v>0805</x:v>
      </x:c>
      <x:c r="D30" s="11" t="n">
        <x:v>1</x:v>
      </x:c>
      <x:c r="E30" s="12" t="n">
        <x:v>0.1</x:v>
      </x:c>
      <x:c r="F30" s="11" t="n">
        <x:f>ROUNDUP(D30*(1+E30),0)</x:f>
        <x:v>2</x:v>
      </x:c>
      <x:c r="G30" s="10" t="str">
        <x:v>220Ω@100MHz / 2A 标称候选</x:v>
      </x:c>
      <x:c r="H30" s="10"/>
      <x:c r="I30" s="10" t="str">
        <x:v>3V3 ONLY if GPIO; other domains require review</x:v>
      </x:c>
      <x:c r="J30" s="10" t="str">
        <x:v>NOT_VERIFIED</x:v>
      </x:c>
      <x:c r="K30" s="10" t="str">
        <x:v>Public source only; pin1/EP/native footprint UNVERIFIED</x:v>
      </x:c>
      <x:c r="L30" s="10" t="str">
        <x:v>https://www.lcsc.com</x:v>
      </x:c>
      <x:c r="M30" s="10" t="str">
        <x:v>AUTHORIZED_VENDOR_NOT_SELECTED</x:v>
      </x:c>
      <x:c r="N30" s="10" t="str">
        <x:v>NOT_APPROVED_FOR_PROCUREMENT</x:v>
      </x:c>
      <x:c r="O30" s="10" t="str">
        <x:v>Inherited candidate quantity; netlist/thermal review pending</x:v>
      </x:c>
      <x:c r="P30" s="10" t="str">
        <x:v>UNKNOWN; vendor evidence required</x:v>
      </x:c>
    </x:row>
    <x:row r="31" ht="52" customHeight="1">
      <x:c r="A31" s="10" t="str">
        <x:v>B-032</x:v>
      </x:c>
      <x:c r="B31" s="10" t="str">
        <x:v>TMP117MAIDRVR</x:v>
      </x:c>
      <x:c r="C31" s="10" t="str">
        <x:v>WSON-6</x:v>
      </x:c>
      <x:c r="D31" s="11" t="n">
        <x:v>1</x:v>
      </x:c>
      <x:c r="E31" s="12" t="n">
        <x:v>0.1</x:v>
      </x:c>
      <x:c r="F31" s="11" t="n">
        <x:f>ROUNDUP(D31*(1+E31),0)</x:f>
        <x:v>2</x:v>
      </x:c>
      <x:c r="G31" s="10" t="str">
        <x:v>监测驱动温度，不等于空气温湿度</x:v>
      </x:c>
      <x:c r="H31" s="10"/>
      <x:c r="I31" s="10" t="str">
        <x:v>3V3 ONLY if GPIO; other domains require review</x:v>
      </x:c>
      <x:c r="J31" s="10" t="str">
        <x:v>NOT_VERIFIED</x:v>
      </x:c>
      <x:c r="K31" s="10" t="str">
        <x:v>Public source only; pin1/EP/native footprint UNVERIFIED</x:v>
      </x:c>
      <x:c r="L31" s="10" t="str">
        <x:v>https://www.ti.com/product/TMP117</x:v>
      </x:c>
      <x:c r="M31" s="10" t="str">
        <x:v>AUTHORIZED_VENDOR_NOT_SELECTED</x:v>
      </x:c>
      <x:c r="N31" s="10" t="str">
        <x:v>NOT_APPROVED_FOR_PROCUREMENT</x:v>
      </x:c>
      <x:c r="O31" s="10" t="str">
        <x:v>REQUIRED 3TMP117; center48/up49/down4B</x:v>
      </x:c>
      <x:c r="P31" s="10" t="str">
        <x:v>Texas Instruments</x:v>
      </x:c>
    </x:row>
    <x:row r="32" ht="52" customHeight="1">
      <x:c r="A32" s="10" t="str">
        <x:v>B-034</x:v>
      </x:c>
      <x:c r="B32" s="10" t="str">
        <x:v>2×25 IDC防呆（候选）</x:v>
      </x:c>
      <x:c r="C32" s="10" t="str">
        <x:v>THT</x:v>
      </x:c>
      <x:c r="D32" s="11" t="n">
        <x:v>1</x:v>
      </x:c>
      <x:c r="E32" s="12" t="n">
        <x:v>0.1</x:v>
      </x:c>
      <x:c r="F32" s="11" t="n">
        <x:f>ROUNDUP(D32*(1+E32),0)</x:f>
        <x:v>2</x:v>
      </x:c>
      <x:c r="G32" s="10" t="str">
        <x:v>每板1个，高速数据+GND相邻，不能当成最终可用66MHz</x:v>
      </x:c>
      <x:c r="H32" s="10"/>
      <x:c r="I32" s="10" t="str">
        <x:v>3V3 ONLY if GPIO; other domains require review</x:v>
      </x:c>
      <x:c r="J32" s="10" t="str">
        <x:v>NOT_VERIFIED</x:v>
      </x:c>
      <x:c r="K32" s="10" t="str">
        <x:v>Public source only; pin1/EP/native footprint UNVERIFIED</x:v>
      </x:c>
      <x:c r="L32" s="10" t="str">
        <x:v>https://www.lcsc.com/custom-cable-assembly</x:v>
      </x:c>
      <x:c r="M32" s="10" t="str">
        <x:v>AUTHORIZED_VENDOR_NOT_SELECTED</x:v>
      </x:c>
      <x:c r="N32" s="10" t="str">
        <x:v>NOT_APPROVED_FOR_PROCUREMENT</x:v>
      </x:c>
      <x:c r="O32" s="10" t="str">
        <x:v>Inherited candidate quantity; netlist/thermal review pending</x:v>
      </x:c>
      <x:c r="P32" s="10" t="str">
        <x:v>UNKNOWN; vendor evidence required</x:v>
      </x:c>
    </x:row>
    <x:row r="33" ht="52" customHeight="1">
      <x:c r="A33" s="10" t="str">
        <x:v>B-036</x:v>
      </x:c>
      <x:c r="B33" s="10" t="str">
        <x:v>不带变压器的被动8P8C/屏蔽连接器</x:v>
      </x:c>
      <x:c r="C33" s="10" t="str">
        <x:v>THT</x:v>
      </x:c>
      <x:c r="D33" s="11" t="n">
        <x:v>1</x:v>
      </x:c>
      <x:c r="E33" s="12" t="n">
        <x:v>0.1</x:v>
      </x:c>
      <x:c r="F33" s="11" t="n">
        <x:f>ROUNDUP(D33*(1+E33),0)</x:f>
        <x:v>2</x:v>
      </x:c>
      <x:c r="G33" s="10" t="str">
        <x:v>上/下阵列各1个，中央2个，明确标非以太网</x:v>
      </x:c>
      <x:c r="H33" s="10"/>
      <x:c r="I33" s="10" t="str">
        <x:v>3V3 ONLY if GPIO; other domains require review</x:v>
      </x:c>
      <x:c r="J33" s="10" t="str">
        <x:v>NOT_VERIFIED</x:v>
      </x:c>
      <x:c r="K33" s="10" t="str">
        <x:v>Public source only; pin1/EP/native footprint UNVERIFIED</x:v>
      </x:c>
      <x:c r="L33" s="10" t="str">
        <x:v>https://www.lcsc.com</x:v>
      </x:c>
      <x:c r="M33" s="10" t="str">
        <x:v>AUTHORIZED_VENDOR_NOT_SELECTED</x:v>
      </x:c>
      <x:c r="N33" s="10" t="str">
        <x:v>NOT_APPROVED_FOR_PROCUREMENT</x:v>
      </x:c>
      <x:c r="O33" s="10" t="str">
        <x:v>Inherited candidate quantity; netlist/thermal review pending</x:v>
      </x:c>
      <x:c r="P33" s="10" t="str">
        <x:v>UNKNOWN; vendor evidence required</x:v>
      </x:c>
    </x:row>
    <x:row r="34" ht="52" customHeight="1">
      <x:c r="A34" s="10" t="str">
        <x:v>B-046</x:v>
      </x:c>
      <x:c r="B34" s="10" t="str">
        <x:v>100nF 50V X7R</x:v>
      </x:c>
      <x:c r="C34" s="10" t="str">
        <x:v>0603</x:v>
      </x:c>
      <x:c r="D34" s="11" t="n">
        <x:v>71</x:v>
      </x:c>
      <x:c r="E34" s="12" t="n">
        <x:v>0.1</x:v>
      </x:c>
      <x:c r="F34" s="11" t="n">
        <x:f>ROUNDUP(D34*(1+E34),0)</x:f>
        <x:v>79</x:v>
      </x:c>
      <x:c r="G34" s="10" t="str">
        <x:v>按原v5零件计数移植；新布板新增保护网路另计</x:v>
      </x:c>
      <x:c r="H34" s="10"/>
      <x:c r="I34" s="10" t="str">
        <x:v>3V3 ONLY if GPIO; other domains require review</x:v>
      </x:c>
      <x:c r="J34" s="10" t="str">
        <x:v>NOT_VERIFIED</x:v>
      </x:c>
      <x:c r="K34" s="10" t="str">
        <x:v>Public source only; pin1/EP/native footprint UNVERIFIED</x:v>
      </x:c>
      <x:c r="L34" s="10" t="str">
        <x:v>https://github.com/loverlike1216/SonoField-FPGA/blob/main/v5/hardware/bom/BOM_MASTER.csv</x:v>
      </x:c>
      <x:c r="M34" s="10" t="str">
        <x:v>AUTHORIZED_VENDOR_NOT_SELECTED</x:v>
      </x:c>
      <x:c r="N34" s="10" t="str">
        <x:v>NOT_APPROVED_FOR_PROCUREMENT</x:v>
      </x:c>
      <x:c r="O34" s="10" t="str">
        <x:v>Inherited candidate quantity; netlist/thermal review pending</x:v>
      </x:c>
      <x:c r="P34" s="10" t="str">
        <x:v>UNKNOWN; vendor evidence required</x:v>
      </x:c>
    </x:row>
    <x:row r="35" ht="52" customHeight="1">
      <x:c r="A35" s="10" t="str">
        <x:v>B-047</x:v>
      </x:c>
      <x:c r="B35" s="10" t="str">
        <x:v>1µF 25V X7R</x:v>
      </x:c>
      <x:c r="C35" s="10" t="str">
        <x:v>0805</x:v>
      </x:c>
      <x:c r="D35" s="11" t="n">
        <x:v>33</x:v>
      </x:c>
      <x:c r="E35" s="12" t="n">
        <x:v>0.1</x:v>
      </x:c>
      <x:c r="F35" s="11" t="n">
        <x:f>ROUNDUP(D35*(1+E35),0)</x:f>
        <x:v>37</x:v>
      </x:c>
      <x:c r="G35" s="10" t="str">
        <x:v>按原v5零件计数移植；新布板新增保护网路另计</x:v>
      </x:c>
      <x:c r="H35" s="10"/>
      <x:c r="I35" s="10" t="str">
        <x:v>3V3 ONLY if GPIO; other domains require review</x:v>
      </x:c>
      <x:c r="J35" s="10" t="str">
        <x:v>NOT_VERIFIED</x:v>
      </x:c>
      <x:c r="K35" s="10" t="str">
        <x:v>Public source only; pin1/EP/native footprint UNVERIFIED</x:v>
      </x:c>
      <x:c r="L35" s="10" t="str">
        <x:v>https://github.com/loverlike1216/SonoField-FPGA/blob/main/v5/hardware/bom/BOM_MASTER.csv</x:v>
      </x:c>
      <x:c r="M35" s="10" t="str">
        <x:v>AUTHORIZED_VENDOR_NOT_SELECTED</x:v>
      </x:c>
      <x:c r="N35" s="10" t="str">
        <x:v>NOT_APPROVED_FOR_PROCUREMENT</x:v>
      </x:c>
      <x:c r="O35" s="10" t="str">
        <x:v>Inherited candidate quantity; netlist/thermal review pending</x:v>
      </x:c>
      <x:c r="P35" s="10" t="str">
        <x:v>UNKNOWN; vendor evidence required</x:v>
      </x:c>
    </x:row>
    <x:row r="36" ht="52" customHeight="1">
      <x:c r="A36" s="10" t="str">
        <x:v>B-048</x:v>
      </x:c>
      <x:c r="B36" s="10" t="str">
        <x:v>22µF 25V X7R</x:v>
      </x:c>
      <x:c r="C36" s="10" t="str">
        <x:v>1210</x:v>
      </x:c>
      <x:c r="D36" s="11" t="n">
        <x:v>12</x:v>
      </x:c>
      <x:c r="E36" s="12" t="n">
        <x:v>0.1</x:v>
      </x:c>
      <x:c r="F36" s="11" t="n">
        <x:f>ROUNDUP(D36*(1+E36),0)</x:f>
        <x:v>14</x:v>
      </x:c>
      <x:c r="G36" s="10" t="str">
        <x:v>按原v5零件计数移植；新布板新增保护网路另计</x:v>
      </x:c>
      <x:c r="H36" s="10"/>
      <x:c r="I36" s="10" t="str">
        <x:v>3V3 ONLY if GPIO; other domains require review</x:v>
      </x:c>
      <x:c r="J36" s="10" t="str">
        <x:v>NOT_VERIFIED</x:v>
      </x:c>
      <x:c r="K36" s="10" t="str">
        <x:v>Public source only; pin1/EP/native footprint UNVERIFIED</x:v>
      </x:c>
      <x:c r="L36" s="10" t="str">
        <x:v>https://github.com/loverlike1216/SonoField-FPGA/blob/main/v5/hardware/bom/BOM_MASTER.csv</x:v>
      </x:c>
      <x:c r="M36" s="10" t="str">
        <x:v>AUTHORIZED_VENDOR_NOT_SELECTED</x:v>
      </x:c>
      <x:c r="N36" s="10" t="str">
        <x:v>NOT_APPROVED_FOR_PROCUREMENT</x:v>
      </x:c>
      <x:c r="O36" s="10" t="str">
        <x:v>Inherited candidate quantity; netlist/thermal review pending</x:v>
      </x:c>
      <x:c r="P36" s="10" t="str">
        <x:v>UNKNOWN; vendor evidence required</x:v>
      </x:c>
    </x:row>
    <x:row r="37" ht="52" customHeight="1">
      <x:c r="A37" s="10" t="str">
        <x:v>B-049</x:v>
      </x:c>
      <x:c r="B37" s="10" t="str">
        <x:v>10µF 25V X7R</x:v>
      </x:c>
      <x:c r="C37" s="10" t="str">
        <x:v>1206</x:v>
      </x:c>
      <x:c r="D37" s="11" t="n">
        <x:v>3</x:v>
      </x:c>
      <x:c r="E37" s="12" t="n">
        <x:v>0.1</x:v>
      </x:c>
      <x:c r="F37" s="11" t="n">
        <x:f>ROUNDUP(D37*(1+E37),0)</x:f>
        <x:v>4</x:v>
      </x:c>
      <x:c r="G37" s="10" t="str">
        <x:v>按原v5零件计数移植；新布板新增保护网路另计</x:v>
      </x:c>
      <x:c r="H37" s="10"/>
      <x:c r="I37" s="10" t="str">
        <x:v>3V3 ONLY if GPIO; other domains require review</x:v>
      </x:c>
      <x:c r="J37" s="10" t="str">
        <x:v>NOT_VERIFIED</x:v>
      </x:c>
      <x:c r="K37" s="10" t="str">
        <x:v>Public source only; pin1/EP/native footprint UNVERIFIED</x:v>
      </x:c>
      <x:c r="L37" s="10" t="str">
        <x:v>https://github.com/loverlike1216/SonoField-FPGA/blob/main/v5/hardware/bom/BOM_MASTER.csv</x:v>
      </x:c>
      <x:c r="M37" s="10" t="str">
        <x:v>AUTHORIZED_VENDOR_NOT_SELECTED</x:v>
      </x:c>
      <x:c r="N37" s="10" t="str">
        <x:v>NOT_APPROVED_FOR_PROCUREMENT</x:v>
      </x:c>
      <x:c r="O37" s="10" t="str">
        <x:v>Inherited candidate quantity; netlist/thermal review pending</x:v>
      </x:c>
      <x:c r="P37" s="10" t="str">
        <x:v>UNKNOWN; vendor evidence required</x:v>
      </x:c>
    </x:row>
    <x:row r="38" ht="52" customHeight="1">
      <x:c r="A38" s="10" t="str">
        <x:v>B-050</x:v>
      </x:c>
      <x:c r="B38" s="10" t="str">
        <x:v>2.2µF 25V X7R</x:v>
      </x:c>
      <x:c r="C38" s="10" t="str">
        <x:v>0805</x:v>
      </x:c>
      <x:c r="D38" s="11" t="n">
        <x:v>2</x:v>
      </x:c>
      <x:c r="E38" s="12" t="n">
        <x:v>0.1</x:v>
      </x:c>
      <x:c r="F38" s="11" t="n">
        <x:f>ROUNDUP(D38*(1+E38),0)</x:f>
        <x:v>3</x:v>
      </x:c>
      <x:c r="G38" s="10" t="str">
        <x:v>按原v5零件计数移植；新布板新增保护网路另计</x:v>
      </x:c>
      <x:c r="H38" s="10"/>
      <x:c r="I38" s="10" t="str">
        <x:v>3V3 ONLY if GPIO; other domains require review</x:v>
      </x:c>
      <x:c r="J38" s="10" t="str">
        <x:v>NOT_VERIFIED</x:v>
      </x:c>
      <x:c r="K38" s="10" t="str">
        <x:v>Public source only; pin1/EP/native footprint UNVERIFIED</x:v>
      </x:c>
      <x:c r="L38" s="10" t="str">
        <x:v>https://github.com/loverlike1216/SonoField-FPGA/blob/main/v5/hardware/bom/BOM_MASTER.csv</x:v>
      </x:c>
      <x:c r="M38" s="10" t="str">
        <x:v>AUTHORIZED_VENDOR_NOT_SELECTED</x:v>
      </x:c>
      <x:c r="N38" s="10" t="str">
        <x:v>NOT_APPROVED_FOR_PROCUREMENT</x:v>
      </x:c>
      <x:c r="O38" s="10" t="str">
        <x:v>Inherited candidate quantity; netlist/thermal review pending</x:v>
      </x:c>
      <x:c r="P38" s="10" t="str">
        <x:v>UNKNOWN; vendor evidence required</x:v>
      </x:c>
    </x:row>
    <x:row r="39" ht="52" customHeight="1">
      <x:c r="A39" s="10" t="str">
        <x:v>B-051</x:v>
      </x:c>
      <x:c r="B39" s="10" t="str">
        <x:v>470µF 35V</x:v>
      </x:c>
      <x:c r="C39" s="10" t="str">
        <x:v>THT</x:v>
      </x:c>
      <x:c r="D39" s="11" t="n">
        <x:v>1</x:v>
      </x:c>
      <x:c r="E39" s="12" t="n">
        <x:v>0.1</x:v>
      </x:c>
      <x:c r="F39" s="11" t="n">
        <x:f>ROUNDUP(D39*(1+E39),0)</x:f>
        <x:v>2</x:v>
      </x:c>
      <x:c r="G39" s="10" t="str">
        <x:v>按原v5零件计数移植；新布板新增保护网路另计</x:v>
      </x:c>
      <x:c r="H39" s="10"/>
      <x:c r="I39" s="10" t="str">
        <x:v>3V3 ONLY if GPIO; other domains require review</x:v>
      </x:c>
      <x:c r="J39" s="10" t="str">
        <x:v>NOT_VERIFIED</x:v>
      </x:c>
      <x:c r="K39" s="10" t="str">
        <x:v>Public source only; pin1/EP/native footprint UNVERIFIED</x:v>
      </x:c>
      <x:c r="L39" s="10" t="str">
        <x:v>https://github.com/loverlike1216/SonoField-FPGA/blob/main/v5/hardware/bom/BOM_MASTER.csv</x:v>
      </x:c>
      <x:c r="M39" s="10" t="str">
        <x:v>AUTHORIZED_VENDOR_NOT_SELECTED</x:v>
      </x:c>
      <x:c r="N39" s="10" t="str">
        <x:v>NOT_APPROVED_FOR_PROCUREMENT</x:v>
      </x:c>
      <x:c r="O39" s="10" t="str">
        <x:v>No central12V supply/converter or5V-to5V LDO headroom; central header budget HOLD</x:v>
      </x:c>
      <x:c r="P39" s="10" t="str">
        <x:v>UNKNOWN; vendor evidence required</x:v>
      </x:c>
    </x:row>
    <x:row r="40" ht="52" customHeight="1">
      <x:c r="A40" s="10" t="str">
        <x:v>B-052</x:v>
      </x:c>
      <x:c r="B40" s="10" t="str">
        <x:v>10nF 50V C0G</x:v>
      </x:c>
      <x:c r="C40" s="10" t="str">
        <x:v>0603</x:v>
      </x:c>
      <x:c r="D40" s="11" t="n">
        <x:v>4</x:v>
      </x:c>
      <x:c r="E40" s="12" t="n">
        <x:v>0.1</x:v>
      </x:c>
      <x:c r="F40" s="11" t="n">
        <x:f>ROUNDUP(D40*(1+E40),0)</x:f>
        <x:v>5</x:v>
      </x:c>
      <x:c r="G40" s="10" t="str">
        <x:v>按原v5零件计数移植；新布板新增保护网路另计</x:v>
      </x:c>
      <x:c r="H40" s="10"/>
      <x:c r="I40" s="10" t="str">
        <x:v>3V3 ONLY if GPIO; other domains require review</x:v>
      </x:c>
      <x:c r="J40" s="10" t="str">
        <x:v>NOT_VERIFIED</x:v>
      </x:c>
      <x:c r="K40" s="10" t="str">
        <x:v>Public source only; pin1/EP/native footprint UNVERIFIED</x:v>
      </x:c>
      <x:c r="L40" s="10" t="str">
        <x:v>https://github.com/loverlike1216/SonoField-FPGA/blob/main/v5/hardware/bom/BOM_MASTER.csv</x:v>
      </x:c>
      <x:c r="M40" s="10" t="str">
        <x:v>AUTHORIZED_VENDOR_NOT_SELECTED</x:v>
      </x:c>
      <x:c r="N40" s="10" t="str">
        <x:v>NOT_APPROVED_FOR_PROCUREMENT</x:v>
      </x:c>
      <x:c r="O40" s="10" t="str">
        <x:v>Inherited candidate quantity; netlist/thermal review pending</x:v>
      </x:c>
      <x:c r="P40" s="10" t="str">
        <x:v>UNKNOWN; vendor evidence required</x:v>
      </x:c>
    </x:row>
    <x:row r="41" ht="52" customHeight="1">
      <x:c r="A41" s="10" t="str">
        <x:v>B-053</x:v>
      </x:c>
      <x:c r="B41" s="10" t="str">
        <x:v>1nF 50V C0G</x:v>
      </x:c>
      <x:c r="C41" s="10" t="str">
        <x:v>0603</x:v>
      </x:c>
      <x:c r="D41" s="11" t="n">
        <x:v>4</x:v>
      </x:c>
      <x:c r="E41" s="12" t="n">
        <x:v>0.1</x:v>
      </x:c>
      <x:c r="F41" s="11" t="n">
        <x:f>ROUNDUP(D41*(1+E41),0)</x:f>
        <x:v>5</x:v>
      </x:c>
      <x:c r="G41" s="10" t="str">
        <x:v>按原v5零件计数移植；新布板新增保护网路另计</x:v>
      </x:c>
      <x:c r="H41" s="10"/>
      <x:c r="I41" s="10" t="str">
        <x:v>3V3 ONLY if GPIO; other domains require review</x:v>
      </x:c>
      <x:c r="J41" s="10" t="str">
        <x:v>NOT_VERIFIED</x:v>
      </x:c>
      <x:c r="K41" s="10" t="str">
        <x:v>Public source only; pin1/EP/native footprint UNVERIFIED</x:v>
      </x:c>
      <x:c r="L41" s="10" t="str">
        <x:v>https://github.com/loverlike1216/SonoField-FPGA/blob/main/v5/hardware/bom/BOM_MASTER.csv</x:v>
      </x:c>
      <x:c r="M41" s="10" t="str">
        <x:v>AUTHORIZED_VENDOR_NOT_SELECTED</x:v>
      </x:c>
      <x:c r="N41" s="10" t="str">
        <x:v>NOT_APPROVED_FOR_PROCUREMENT</x:v>
      </x:c>
      <x:c r="O41" s="10" t="str">
        <x:v>Inherited candidate quantity; netlist/thermal review pending</x:v>
      </x:c>
      <x:c r="P41" s="10" t="str">
        <x:v>UNKNOWN; vendor evidence required</x:v>
      </x:c>
    </x:row>
    <x:row r="42" ht="52" customHeight="1">
      <x:c r="A42" s="10" t="str">
        <x:v>B-054</x:v>
      </x:c>
      <x:c r="B42" s="10" t="str">
        <x:v>100kΩ 1%</x:v>
      </x:c>
      <x:c r="C42" s="10" t="str">
        <x:v>0603</x:v>
      </x:c>
      <x:c r="D42" s="11" t="n">
        <x:v>89</x:v>
      </x:c>
      <x:c r="E42" s="12" t="n">
        <x:v>0.1</x:v>
      </x:c>
      <x:c r="F42" s="11" t="n">
        <x:f>ROUNDUP(D42*(1+E42),0)</x:f>
        <x:v>98</x:v>
      </x:c>
      <x:c r="G42" s="10" t="str">
        <x:v>按原v5零件计数移植；新布板新增保护网路另计</x:v>
      </x:c>
      <x:c r="H42" s="10"/>
      <x:c r="I42" s="10" t="str">
        <x:v>3V3 ONLY if GPIO; other domains require review</x:v>
      </x:c>
      <x:c r="J42" s="10" t="str">
        <x:v>NOT_VERIFIED</x:v>
      </x:c>
      <x:c r="K42" s="10" t="str">
        <x:v>Public source only; pin1/EP/native footprint UNVERIFIED</x:v>
      </x:c>
      <x:c r="L42" s="10" t="str">
        <x:v>https://github.com/loverlike1216/SonoField-FPGA/blob/main/v5/hardware/bom/BOM_MASTER.csv</x:v>
      </x:c>
      <x:c r="M42" s="10" t="str">
        <x:v>AUTHORIZED_VENDOR_NOT_SELECTED</x:v>
      </x:c>
      <x:c r="N42" s="10" t="str">
        <x:v>NOT_APPROVED_FOR_PROCUREMENT</x:v>
      </x:c>
      <x:c r="O42" s="10" t="str">
        <x:v>Inherited candidate quantity; netlist/thermal review pending</x:v>
      </x:c>
      <x:c r="P42" s="10" t="str">
        <x:v>UNKNOWN; vendor evidence required</x:v>
      </x:c>
    </x:row>
    <x:row r="43" ht="52" customHeight="1">
      <x:c r="A43" s="10" t="str">
        <x:v>B-055</x:v>
      </x:c>
      <x:c r="B43" s="10" t="str">
        <x:v>10kΩ 1%</x:v>
      </x:c>
      <x:c r="C43" s="10" t="str">
        <x:v>0603</x:v>
      </x:c>
      <x:c r="D43" s="11" t="n">
        <x:v>3</x:v>
      </x:c>
      <x:c r="E43" s="12" t="n">
        <x:v>0.1</x:v>
      </x:c>
      <x:c r="F43" s="11" t="n">
        <x:f>ROUNDUP(D43*(1+E43),0)</x:f>
        <x:v>4</x:v>
      </x:c>
      <x:c r="G43" s="10" t="str">
        <x:v>按原v5零件计数移植；新布板新增保护网路另计</x:v>
      </x:c>
      <x:c r="H43" s="10"/>
      <x:c r="I43" s="10" t="str">
        <x:v>3V3 ONLY if GPIO; other domains require review</x:v>
      </x:c>
      <x:c r="J43" s="10" t="str">
        <x:v>NOT_VERIFIED</x:v>
      </x:c>
      <x:c r="K43" s="10" t="str">
        <x:v>Public source only; pin1/EP/native footprint UNVERIFIED</x:v>
      </x:c>
      <x:c r="L43" s="10" t="str">
        <x:v>https://github.com/loverlike1216/SonoField-FPGA/blob/main/v5/hardware/bom/BOM_MASTER.csv</x:v>
      </x:c>
      <x:c r="M43" s="10" t="str">
        <x:v>AUTHORIZED_VENDOR_NOT_SELECTED</x:v>
      </x:c>
      <x:c r="N43" s="10" t="str">
        <x:v>NOT_APPROVED_FOR_PROCUREMENT</x:v>
      </x:c>
      <x:c r="O43" s="10" t="str">
        <x:v>Inherited candidate quantity; netlist/thermal review pending</x:v>
      </x:c>
      <x:c r="P43" s="10" t="str">
        <x:v>UNKNOWN; vendor evidence required</x:v>
      </x:c>
    </x:row>
    <x:row r="44" ht="52" customHeight="1">
      <x:c r="A44" s="10" t="str">
        <x:v>B-056</x:v>
      </x:c>
      <x:c r="B44" s="10" t="str">
        <x:v>4.7kΩ 1%</x:v>
      </x:c>
      <x:c r="C44" s="10" t="str">
        <x:v>0603</x:v>
      </x:c>
      <x:c r="D44" s="11" t="n">
        <x:v>2</x:v>
      </x:c>
      <x:c r="E44" s="12" t="n">
        <x:v>0.1</x:v>
      </x:c>
      <x:c r="F44" s="11" t="n">
        <x:f>ROUNDUP(D44*(1+E44),0)</x:f>
        <x:v>3</x:v>
      </x:c>
      <x:c r="G44" s="10" t="str">
        <x:v>按原v5零件计数移植；新布板新增保护网路另计</x:v>
      </x:c>
      <x:c r="H44" s="10"/>
      <x:c r="I44" s="10" t="str">
        <x:v>3V3 ONLY if GPIO; other domains require review</x:v>
      </x:c>
      <x:c r="J44" s="10" t="str">
        <x:v>NOT_VERIFIED</x:v>
      </x:c>
      <x:c r="K44" s="10" t="str">
        <x:v>Public source only; pin1/EP/native footprint UNVERIFIED</x:v>
      </x:c>
      <x:c r="L44" s="10" t="str">
        <x:v>https://github.com/loverlike1216/SonoField-FPGA/blob/main/v5/hardware/bom/BOM_MASTER.csv</x:v>
      </x:c>
      <x:c r="M44" s="10" t="str">
        <x:v>AUTHORIZED_VENDOR_NOT_SELECTED</x:v>
      </x:c>
      <x:c r="N44" s="10" t="str">
        <x:v>NOT_APPROVED_FOR_PROCUREMENT</x:v>
      </x:c>
      <x:c r="O44" s="10" t="str">
        <x:v>Inherited candidate quantity; netlist/thermal review pending</x:v>
      </x:c>
      <x:c r="P44" s="10" t="str">
        <x:v>UNKNOWN; vendor evidence required</x:v>
      </x:c>
    </x:row>
    <x:row r="45" ht="52" customHeight="1">
      <x:c r="A45" s="10" t="str">
        <x:v>B-057</x:v>
      </x:c>
      <x:c r="B45" s="10" t="str">
        <x:v>1kΩ 1%</x:v>
      </x:c>
      <x:c r="C45" s="10" t="str">
        <x:v>0603</x:v>
      </x:c>
      <x:c r="D45" s="11" t="n">
        <x:v>8</x:v>
      </x:c>
      <x:c r="E45" s="12" t="n">
        <x:v>0.1</x:v>
      </x:c>
      <x:c r="F45" s="11" t="n">
        <x:f>ROUNDUP(D45*(1+E45),0)</x:f>
        <x:v>9</x:v>
      </x:c>
      <x:c r="G45" s="10" t="str">
        <x:v>按原v5零件计数移植；新布板新增保护网路另计</x:v>
      </x:c>
      <x:c r="H45" s="10"/>
      <x:c r="I45" s="10" t="str">
        <x:v>3V3 ONLY if GPIO; other domains require review</x:v>
      </x:c>
      <x:c r="J45" s="10" t="str">
        <x:v>NOT_VERIFIED</x:v>
      </x:c>
      <x:c r="K45" s="10" t="str">
        <x:v>Public source only; pin1/EP/native footprint UNVERIFIED</x:v>
      </x:c>
      <x:c r="L45" s="10" t="str">
        <x:v>https://github.com/loverlike1216/SonoField-FPGA/blob/main/v5/hardware/bom/BOM_MASTER.csv</x:v>
      </x:c>
      <x:c r="M45" s="10" t="str">
        <x:v>AUTHORIZED_VENDOR_NOT_SELECTED</x:v>
      </x:c>
      <x:c r="N45" s="10" t="str">
        <x:v>NOT_APPROVED_FOR_PROCUREMENT</x:v>
      </x:c>
      <x:c r="O45" s="10" t="str">
        <x:v>Inherited candidate quantity; netlist/thermal review pending</x:v>
      </x:c>
      <x:c r="P45" s="10" t="str">
        <x:v>UNKNOWN; vendor evidence required</x:v>
      </x:c>
    </x:row>
    <x:row r="46" ht="52" customHeight="1">
      <x:c r="A46" s="10" t="str">
        <x:v>B-058</x:v>
      </x:c>
      <x:c r="B46" s="10" t="str">
        <x:v>47Ω 1%</x:v>
      </x:c>
      <x:c r="C46" s="10" t="str">
        <x:v>0603</x:v>
      </x:c>
      <x:c r="D46" s="11" t="n">
        <x:v>4</x:v>
      </x:c>
      <x:c r="E46" s="12" t="n">
        <x:v>0.1</x:v>
      </x:c>
      <x:c r="F46" s="11" t="n">
        <x:f>ROUNDUP(D46*(1+E46),0)</x:f>
        <x:v>5</x:v>
      </x:c>
      <x:c r="G46" s="10" t="str">
        <x:v>按原v5零件计数移植；新布板新增保护网路另计</x:v>
      </x:c>
      <x:c r="H46" s="10"/>
      <x:c r="I46" s="10" t="str">
        <x:v>3V3 ONLY if GPIO; other domains require review</x:v>
      </x:c>
      <x:c r="J46" s="10" t="str">
        <x:v>NOT_VERIFIED</x:v>
      </x:c>
      <x:c r="K46" s="10" t="str">
        <x:v>Public source only; pin1/EP/native footprint UNVERIFIED</x:v>
      </x:c>
      <x:c r="L46" s="10" t="str">
        <x:v>https://github.com/loverlike1216/SonoField-FPGA/blob/main/v5/hardware/bom/BOM_MASTER.csv</x:v>
      </x:c>
      <x:c r="M46" s="10" t="str">
        <x:v>AUTHORIZED_VENDOR_NOT_SELECTED</x:v>
      </x:c>
      <x:c r="N46" s="10" t="str">
        <x:v>NOT_APPROVED_FOR_PROCUREMENT</x:v>
      </x:c>
      <x:c r="O46" s="10" t="str">
        <x:v>Inherited candidate quantity; netlist/thermal review pending</x:v>
      </x:c>
      <x:c r="P46" s="10" t="str">
        <x:v>UNKNOWN; vendor evidence required</x:v>
      </x:c>
    </x:row>
    <x:row r="47" ht="52" customHeight="1">
      <x:c r="A47" s="10" t="str">
        <x:v>B-059</x:v>
      </x:c>
      <x:c r="B47" s="10" t="str">
        <x:v>33Ω 1%</x:v>
      </x:c>
      <x:c r="C47" s="10" t="str">
        <x:v>0603</x:v>
      </x:c>
      <x:c r="D47" s="11" t="n">
        <x:v>8</x:v>
      </x:c>
      <x:c r="E47" s="12" t="n">
        <x:v>0.1</x:v>
      </x:c>
      <x:c r="F47" s="11" t="n">
        <x:f>ROUNDUP(D47*(1+E47),0)</x:f>
        <x:v>9</x:v>
      </x:c>
      <x:c r="G47" s="10" t="str">
        <x:v>按原v5零件计数移植；新布板新增保护网路另计</x:v>
      </x:c>
      <x:c r="H47" s="10"/>
      <x:c r="I47" s="10" t="str">
        <x:v>3V3 ONLY if GPIO; other domains require review</x:v>
      </x:c>
      <x:c r="J47" s="10" t="str">
        <x:v>NOT_VERIFIED</x:v>
      </x:c>
      <x:c r="K47" s="10" t="str">
        <x:v>Public source only; pin1/EP/native footprint UNVERIFIED</x:v>
      </x:c>
      <x:c r="L47" s="10" t="str">
        <x:v>https://github.com/loverlike1216/SonoField-FPGA/blob/main/v5/hardware/bom/BOM_MASTER.csv</x:v>
      </x:c>
      <x:c r="M47" s="10" t="str">
        <x:v>AUTHORIZED_VENDOR_NOT_SELECTED</x:v>
      </x:c>
      <x:c r="N47" s="10" t="str">
        <x:v>NOT_APPROVED_FOR_PROCUREMENT</x:v>
      </x:c>
      <x:c r="O47" s="10" t="str">
        <x:v>Inherited candidate quantity; netlist/thermal review pending</x:v>
      </x:c>
      <x:c r="P47" s="10" t="str">
        <x:v>UNKNOWN; vendor evidence required</x:v>
      </x:c>
    </x:row>
    <x:row r="48" ht="52" customHeight="1">
      <x:c r="A48" s="10" t="str">
        <x:v>B-060</x:v>
      </x:c>
      <x:c r="B48" s="10" t="str">
        <x:v>10Ω 1%</x:v>
      </x:c>
      <x:c r="C48" s="10" t="str">
        <x:v>0603</x:v>
      </x:c>
      <x:c r="D48" s="11" t="n">
        <x:v>2</x:v>
      </x:c>
      <x:c r="E48" s="12" t="n">
        <x:v>0.1</x:v>
      </x:c>
      <x:c r="F48" s="11" t="n">
        <x:f>ROUNDUP(D48*(1+E48),0)</x:f>
        <x:v>3</x:v>
      </x:c>
      <x:c r="G48" s="10" t="str">
        <x:v>按原v5零件计数移植；新布板新增保护网路另计</x:v>
      </x:c>
      <x:c r="H48" s="10"/>
      <x:c r="I48" s="10" t="str">
        <x:v>3V3 ONLY if GPIO; other domains require review</x:v>
      </x:c>
      <x:c r="J48" s="10" t="str">
        <x:v>NOT_VERIFIED</x:v>
      </x:c>
      <x:c r="K48" s="10" t="str">
        <x:v>Public source only; pin1/EP/native footprint UNVERIFIED</x:v>
      </x:c>
      <x:c r="L48" s="10" t="str">
        <x:v>https://github.com/loverlike1216/SonoField-FPGA/blob/main/v5/hardware/bom/BOM_MASTER.csv</x:v>
      </x:c>
      <x:c r="M48" s="10" t="str">
        <x:v>AUTHORIZED_VENDOR_NOT_SELECTED</x:v>
      </x:c>
      <x:c r="N48" s="10" t="str">
        <x:v>NOT_APPROVED_FOR_PROCUREMENT</x:v>
      </x:c>
      <x:c r="O48" s="10" t="str">
        <x:v>Inherited candidate quantity; netlist/thermal review pending</x:v>
      </x:c>
      <x:c r="P48" s="10" t="str">
        <x:v>UNKNOWN; vendor evidence required</x:v>
      </x:c>
    </x:row>
    <x:row r="49" ht="52" customHeight="1">
      <x:c r="A49" s="10" t="str">
        <x:v>B-061</x:v>
      </x:c>
      <x:c r="B49" s="10" t="str">
        <x:v>0Ω 0603</x:v>
      </x:c>
      <x:c r="C49" s="10" t="str">
        <x:v>0603</x:v>
      </x:c>
      <x:c r="D49" s="11" t="n">
        <x:v>68</x:v>
      </x:c>
      <x:c r="E49" s="12" t="n">
        <x:v>0.1</x:v>
      </x:c>
      <x:c r="F49" s="11" t="n">
        <x:f>ROUNDUP(D49*(1+E49),0)</x:f>
        <x:v>75</x:v>
      </x:c>
      <x:c r="G49" s="10" t="str">
        <x:v>按原v5零件计数移植；新布板新增保护网路另计</x:v>
      </x:c>
      <x:c r="H49" s="10"/>
      <x:c r="I49" s="10" t="str">
        <x:v>3V3 ONLY if GPIO; other domains require review</x:v>
      </x:c>
      <x:c r="J49" s="10" t="str">
        <x:v>NOT_VERIFIED</x:v>
      </x:c>
      <x:c r="K49" s="10" t="str">
        <x:v>Public source only; pin1/EP/native footprint UNVERIFIED</x:v>
      </x:c>
      <x:c r="L49" s="10" t="str">
        <x:v>https://github.com/loverlike1216/SonoField-FPGA/blob/main/v5/hardware/bom/BOM_MASTER.csv</x:v>
      </x:c>
      <x:c r="M49" s="10" t="str">
        <x:v>AUTHORIZED_VENDOR_NOT_SELECTED</x:v>
      </x:c>
      <x:c r="N49" s="10" t="str">
        <x:v>NOT_APPROVED_FOR_PROCUREMENT</x:v>
      </x:c>
      <x:c r="O49" s="10" t="str">
        <x:v>Inherited candidate quantity; netlist/thermal review pending</x:v>
      </x:c>
      <x:c r="P49" s="10" t="str">
        <x:v>UNKNOWN; vendor evidence required</x:v>
      </x:c>
    </x:row>
    <x:row r="50" ht="52" customHeight="1">
      <x:c r="A50" s="10" t="str">
        <x:v>B-062</x:v>
      </x:c>
      <x:c r="B50" s="10" t="str">
        <x:v>1.65kΩ 1%</x:v>
      </x:c>
      <x:c r="C50" s="10" t="str">
        <x:v>0603</x:v>
      </x:c>
      <x:c r="D50" s="11" t="n">
        <x:v>1</x:v>
      </x:c>
      <x:c r="E50" s="12" t="n">
        <x:v>0.1</x:v>
      </x:c>
      <x:c r="F50" s="11" t="n">
        <x:f>ROUNDUP(D50*(1+E50),0)</x:f>
        <x:v>2</x:v>
      </x:c>
      <x:c r="G50" s="10" t="str">
        <x:v>1.65kΩ→约2.02A标称；不是5.5A</x:v>
      </x:c>
      <x:c r="H50" s="10"/>
      <x:c r="I50" s="10" t="str">
        <x:v>3V3 ONLY if GPIO; other domains require review</x:v>
      </x:c>
      <x:c r="J50" s="10" t="str">
        <x:v>NOT_VERIFIED</x:v>
      </x:c>
      <x:c r="K50" s="10" t="str">
        <x:v>Public source only; pin1/EP/native footprint UNVERIFIED</x:v>
      </x:c>
      <x:c r="L50" s="10" t="str">
        <x:v>https://github.com/loverlike1216/SonoField-FPGA/blob/main/v5/hardware/bom/BOM_MASTER.csv</x:v>
      </x:c>
      <x:c r="M50" s="10" t="str">
        <x:v>AUTHORIZED_VENDOR_NOT_SELECTED</x:v>
      </x:c>
      <x:c r="N50" s="10" t="str">
        <x:v>NOT_APPROVED_FOR_PROCUREMENT</x:v>
      </x:c>
      <x:c r="O50" s="10" t="str">
        <x:v>Inherited candidate quantity; netlist/thermal review pending</x:v>
      </x:c>
      <x:c r="P50" s="10" t="str">
        <x:v>UNKNOWN; vendor evidence required</x:v>
      </x:c>
    </x:row>
    <x:row r="51" ht="52" customHeight="1">
      <x:c r="A51" s="10" t="str">
        <x:v>B-063</x:v>
      </x:c>
      <x:c r="B51" s="10" t="str">
        <x:v>1.37MΩ 1%</x:v>
      </x:c>
      <x:c r="C51" s="10" t="str">
        <x:v>0603</x:v>
      </x:c>
      <x:c r="D51" s="11" t="n">
        <x:v>1</x:v>
      </x:c>
      <x:c r="E51" s="12" t="n">
        <x:v>0.1</x:v>
      </x:c>
      <x:c r="F51" s="11" t="n">
        <x:f>ROUNDUP(D51*(1+E51),0)</x:f>
        <x:v>2</x:v>
      </x:c>
      <x:c r="G51" s="10" t="str">
        <x:v>按原v5零件计数移植；新布板新增保护网路另计</x:v>
      </x:c>
      <x:c r="H51" s="10"/>
      <x:c r="I51" s="10" t="str">
        <x:v>3V3 ONLY if GPIO; other domains require review</x:v>
      </x:c>
      <x:c r="J51" s="10" t="str">
        <x:v>NOT_VERIFIED</x:v>
      </x:c>
      <x:c r="K51" s="10" t="str">
        <x:v>Public source only; pin1/EP/native footprint UNVERIFIED</x:v>
      </x:c>
      <x:c r="L51" s="10" t="str">
        <x:v>https://github.com/loverlike1216/SonoField-FPGA/blob/main/v5/hardware/bom/BOM_MASTER.csv</x:v>
      </x:c>
      <x:c r="M51" s="10" t="str">
        <x:v>AUTHORIZED_VENDOR_NOT_SELECTED</x:v>
      </x:c>
      <x:c r="N51" s="10" t="str">
        <x:v>NOT_APPROVED_FOR_PROCUREMENT</x:v>
      </x:c>
      <x:c r="O51" s="10" t="str">
        <x:v>Inherited candidate quantity; netlist/thermal review pending</x:v>
      </x:c>
      <x:c r="P51" s="10" t="str">
        <x:v>UNKNOWN; vendor evidence required</x:v>
      </x:c>
    </x:row>
    <x:row r="52" ht="52" customHeight="1">
      <x:c r="A52" s="10" t="str">
        <x:v>B-064</x:v>
      </x:c>
      <x:c r="B52" s="10" t="str">
        <x:v>590kΩ 1%</x:v>
      </x:c>
      <x:c r="C52" s="10" t="str">
        <x:v>0603</x:v>
      </x:c>
      <x:c r="D52" s="11" t="n">
        <x:v>1</x:v>
      </x:c>
      <x:c r="E52" s="12" t="n">
        <x:v>0.1</x:v>
      </x:c>
      <x:c r="F52" s="11" t="n">
        <x:f>ROUNDUP(D52*(1+E52),0)</x:f>
        <x:v>2</x:v>
      </x:c>
      <x:c r="G52" s="10" t="str">
        <x:v>按原v5零件计数移植；新布板新增保护网路另计</x:v>
      </x:c>
      <x:c r="H52" s="10"/>
      <x:c r="I52" s="10" t="str">
        <x:v>3V3 ONLY if GPIO; other domains require review</x:v>
      </x:c>
      <x:c r="J52" s="10" t="str">
        <x:v>NOT_VERIFIED</x:v>
      </x:c>
      <x:c r="K52" s="10" t="str">
        <x:v>Public source only; pin1/EP/native footprint UNVERIFIED</x:v>
      </x:c>
      <x:c r="L52" s="10" t="str">
        <x:v>https://github.com/loverlike1216/SonoField-FPGA/blob/main/v5/hardware/bom/BOM_MASTER.csv</x:v>
      </x:c>
      <x:c r="M52" s="10" t="str">
        <x:v>AUTHORIZED_VENDOR_NOT_SELECTED</x:v>
      </x:c>
      <x:c r="N52" s="10" t="str">
        <x:v>NOT_APPROVED_FOR_PROCUREMENT</x:v>
      </x:c>
      <x:c r="O52" s="10" t="str">
        <x:v>Inherited candidate quantity; netlist/thermal review pending</x:v>
      </x:c>
      <x:c r="P52" s="10" t="str">
        <x:v>UNKNOWN; vendor evidence required</x:v>
      </x:c>
    </x:row>
    <x:row r="53" ht="52" customHeight="1">
      <x:c r="A53" s="10" t="str">
        <x:v>B-065</x:v>
      </x:c>
      <x:c r="B53" s="10" t="str">
        <x:v>100kΩ 0.1%</x:v>
      </x:c>
      <x:c r="C53" s="10" t="str">
        <x:v>0603</x:v>
      </x:c>
      <x:c r="D53" s="11" t="n">
        <x:v>4</x:v>
      </x:c>
      <x:c r="E53" s="12" t="n">
        <x:v>0.1</x:v>
      </x:c>
      <x:c r="F53" s="11" t="n">
        <x:f>ROUNDUP(D53*(1+E53),0)</x:f>
        <x:v>5</x:v>
      </x:c>
      <x:c r="G53" s="10" t="str">
        <x:v>按原v5零件计数移植；新布板新增保护网路另计</x:v>
      </x:c>
      <x:c r="H53" s="10"/>
      <x:c r="I53" s="10" t="str">
        <x:v>3V3 ONLY if GPIO; other domains require review</x:v>
      </x:c>
      <x:c r="J53" s="10" t="str">
        <x:v>NOT_VERIFIED</x:v>
      </x:c>
      <x:c r="K53" s="10" t="str">
        <x:v>Public source only; pin1/EP/native footprint UNVERIFIED</x:v>
      </x:c>
      <x:c r="L53" s="10" t="str">
        <x:v>https://github.com/loverlike1216/SonoField-FPGA/blob/main/v5/hardware/bom/BOM_MASTER.csv</x:v>
      </x:c>
      <x:c r="M53" s="10" t="str">
        <x:v>AUTHORIZED_VENDOR_NOT_SELECTED</x:v>
      </x:c>
      <x:c r="N53" s="10" t="str">
        <x:v>NOT_APPROVED_FOR_PROCUREMENT</x:v>
      </x:c>
      <x:c r="O53" s="10" t="str">
        <x:v>Inherited candidate quantity; netlist/thermal review pending</x:v>
      </x:c>
      <x:c r="P53" s="10" t="str">
        <x:v>UNKNOWN; vendor evidence required</x:v>
      </x:c>
    </x:row>
    <x:row r="54" ht="52" customHeight="1">
      <x:c r="A54" s="10" t="str">
        <x:v>B-066</x:v>
      </x:c>
      <x:c r="B54" s="10" t="str">
        <x:v>10kΩ 0.1%</x:v>
      </x:c>
      <x:c r="C54" s="10" t="str">
        <x:v>0603</x:v>
      </x:c>
      <x:c r="D54" s="11" t="n">
        <x:v>12</x:v>
      </x:c>
      <x:c r="E54" s="12" t="n">
        <x:v>0.1</x:v>
      </x:c>
      <x:c r="F54" s="11" t="n">
        <x:f>ROUNDUP(D54*(1+E54),0)</x:f>
        <x:v>14</x:v>
      </x:c>
      <x:c r="G54" s="10" t="str">
        <x:v>按原v5零件计数移植；新布板新增保护网路另计</x:v>
      </x:c>
      <x:c r="H54" s="10"/>
      <x:c r="I54" s="10" t="str">
        <x:v>3V3 ONLY if GPIO; other domains require review</x:v>
      </x:c>
      <x:c r="J54" s="10" t="str">
        <x:v>NOT_VERIFIED</x:v>
      </x:c>
      <x:c r="K54" s="10" t="str">
        <x:v>Public source only; pin1/EP/native footprint UNVERIFIED</x:v>
      </x:c>
      <x:c r="L54" s="10" t="str">
        <x:v>https://github.com/loverlike1216/SonoField-FPGA/blob/main/v5/hardware/bom/BOM_MASTER.csv</x:v>
      </x:c>
      <x:c r="M54" s="10" t="str">
        <x:v>AUTHORIZED_VENDOR_NOT_SELECTED</x:v>
      </x:c>
      <x:c r="N54" s="10" t="str">
        <x:v>NOT_APPROVED_FOR_PROCUREMENT</x:v>
      </x:c>
      <x:c r="O54" s="10" t="str">
        <x:v>Inherited candidate quantity; netlist/thermal review pending</x:v>
      </x:c>
      <x:c r="P54" s="10" t="str">
        <x:v>UNKNOWN; vendor evidence required</x:v>
      </x:c>
    </x:row>
    <x:row r="55" ht="52" customHeight="1">
      <x:c r="A55" s="10" t="str">
        <x:v>B-069</x:v>
      </x:c>
      <x:c r="B55" s="10" t="str">
        <x:v>130×130mm 4L 1.6mm FR4候选</x:v>
      </x:c>
      <x:c r="C55" s="10" t="str">
        <x:v>PCB</x:v>
      </x:c>
      <x:c r="D55" s="11" t="n">
        <x:v>1</x:v>
      </x:c>
      <x:c r="E55" s="12" t="n">
        <x:v>0.1</x:v>
      </x:c>
      <x:c r="F55" s="11" t="n">
        <x:f>ROUNDUP(D55*(1+E55),0)</x:f>
        <x:v>2</x:v>
      </x:c>
      <x:c r="G55" s="10" t="str">
        <x:v>单板64 TX+4RX+驱动/AFE；空间布局受限需密度审查</x:v>
      </x:c>
      <x:c r="H55" s="10"/>
      <x:c r="I55" s="10" t="str">
        <x:v>3V3 ONLY if GPIO; other domains require review</x:v>
      </x:c>
      <x:c r="J55" s="10" t="str">
        <x:v>NOT_VERIFIED</x:v>
      </x:c>
      <x:c r="K55" s="10" t="str">
        <x:v>Public source only; pin1/EP/native footprint UNVERIFIED</x:v>
      </x:c>
      <x:c r="L55" s="10" t="str">
        <x:v>https://jlcpcb.com</x:v>
      </x:c>
      <x:c r="M55" s="10" t="str">
        <x:v>AUTHORIZED_VENDOR_NOT_SELECTED</x:v>
      </x:c>
      <x:c r="N55" s="10" t="str">
        <x:v>NOT_APPROVED_FOR_PROCUREMENT</x:v>
      </x:c>
      <x:c r="O55" s="10" t="str">
        <x:v>Inherited candidate quantity; netlist/thermal review pending</x:v>
      </x:c>
      <x:c r="P55" s="10" t="str">
        <x:v>UNKNOWN; vendor evidence required</x:v>
      </x:c>
    </x:row>
    <x:row r="56" ht="52" customHeight="1">
      <x:c r="A56" s="10" t="str">
        <x:v>PC-002</x:v>
      </x:c>
      <x:c r="B56" s="10" t="str">
        <x:v>PART_SELECTION_HOLD</x:v>
      </x:c>
      <x:c r="C56" s="10" t="str">
        <x:v>HOLD</x:v>
      </x:c>
      <x:c r="D56" s="11" t="n">
        <x:v>1</x:v>
      </x:c>
      <x:c r="E56" s="12" t="n">
        <x:v>0.1</x:v>
      </x:c>
      <x:c r="F56" s="11" t="n">
        <x:f>ROUNDUP(D56*(1+E56),0)</x:f>
        <x:v>2</x:v>
      </x:c>
      <x:c r="G56" s="10" t="str">
        <x:v>CANDIDATE_REVIEW_REQUIRED</x:v>
      </x:c>
      <x:c r="H56" s="10"/>
      <x:c r="I56" s="10" t="str">
        <x:v>ELECTRICAL_REVIEW_REQUIRED</x:v>
      </x:c>
      <x:c r="J56" s="10" t="str">
        <x:v>NOT_VERIFIED</x:v>
      </x:c>
      <x:c r="K56" s="10" t="str">
        <x:v>Native pin1/EP not verified</x:v>
      </x:c>
      <x:c r="L56" s="10" t="str">
        <x:v>USER_SAFETY_REQUIREMENT</x:v>
      </x:c>
      <x:c r="M56" s="10" t="str">
        <x:v>NOT_SELECTED</x:v>
      </x:c>
      <x:c r="N56" s="10" t="str">
        <x:v>NOT_APPROVED_FOR_PROCUREMENT</x:v>
      </x:c>
      <x:c r="O56" s="10" t="str">
        <x:v>Electrical/thermal qualification HOLD</x:v>
      </x:c>
      <x:c r="P56" s="10" t="str">
        <x:v>UNKNOWN; vendor evidence required</x:v>
      </x:c>
    </x:row>
  </x:sheetData>
  <x:conditionalFormatting sqref="J5:J56">
    <x:cfRule type="containsText" dxfId="1" priority="1" operator="containsText" text="NOT_VERIFIED"/>
  </x:conditionalFormatting>
  <x:pageMargins left="0.7" right="0.7" top="0.75" bottom="0.75" header="0.3" footer="0.3"/>
  <x:tableParts count="1">
    <x:tablePart xmlns:r="http://schemas.openxmlformats.org/officeDocument/2006/relationships" r:id="R9b2dbd93f61e4863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2" hidden="0" customWidth="1"/>
    <x:col min="2" max="2" width="35" hidden="0" customWidth="1"/>
    <x:col min="3" max="3" width="20" hidden="0" customWidth="1"/>
    <x:col min="4" max="4" width="12" hidden="0" customWidth="1"/>
    <x:col min="5" max="5" width="12" hidden="0" customWidth="1"/>
    <x:col min="6" max="6" width="14" hidden="0" customWidth="1"/>
    <x:col min="7" max="7" width="50" hidden="0" customWidth="1"/>
    <x:col min="8" max="8" width="14" hidden="0" customWidth="1"/>
    <x:col min="9" max="9" width="35" hidden="0" customWidth="1"/>
    <x:col min="10" max="10" width="18" hidden="0" customWidth="1"/>
    <x:col min="11" max="11" width="38" hidden="0" customWidth="1"/>
    <x:col min="12" max="12" width="55" hidden="0" customWidth="1"/>
    <x:col min="13" max="13" width="32" hidden="0" customWidth="1"/>
    <x:col min="14" max="14" width="38" hidden="0" customWidth="1"/>
    <x:col min="15" max="15" width="70" hidden="0" customWidth="1"/>
    <x:col min="16" max="16" width="38" hidden="0" customWidth="1"/>
  </x:cols>
  <x:sheetData>
    <x:row r="2">
      <x:c r="A2" s="6" t="str">
        <x:v>Central candidate assembly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</x:row>
    <x:row r="3">
      <x:c r="A3" s="3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  <x:c r="P3" s="3"/>
    </x:row>
    <x:row r="4" ht="34" customHeight="1">
      <x:c r="A4" s="9" t="str">
        <x:v>ID</x:v>
      </x:c>
      <x:c r="B4" s="9" t="str">
        <x:v>Part / MPN</x:v>
      </x:c>
      <x:c r="C4" s="9" t="str">
        <x:v>Package</x:v>
      </x:c>
      <x:c r="D4" s="9" t="str">
        <x:v>Installed qty</x:v>
      </x:c>
      <x:c r="E4" s="9" t="str">
        <x:v>Suggested spare %</x:v>
      </x:c>
      <x:c r="F4" s="9" t="str">
        <x:v>Procurement qty</x:v>
      </x:c>
      <x:c r="G4" s="9" t="str">
        <x:v>Supply / rating</x:v>
      </x:c>
      <x:c r="H4" s="9" t="str">
        <x:v>Max current A</x:v>
      </x:c>
      <x:c r="I4" s="9" t="str">
        <x:v>IO domain</x:v>
      </x:c>
      <x:c r="J4" s="9" t="str">
        <x:v>Measured</x:v>
      </x:c>
      <x:c r="K4" s="9" t="str">
        <x:v>Package verification</x:v>
      </x:c>
      <x:c r="L4" s="9" t="str">
        <x:v>Source URL</x:v>
      </x:c>
      <x:c r="M4" s="9" t="str">
        <x:v>Supplier</x:v>
      </x:c>
      <x:c r="N4" s="9" t="str">
        <x:v>Approval</x:v>
      </x:c>
      <x:c r="O4" s="9" t="str">
        <x:v>Risk / required action</x:v>
      </x:c>
      <x:c r="P4" s="9" t="str">
        <x:v>Manufacturer</x:v>
      </x:c>
    </x:row>
    <x:row r="5" ht="52" customHeight="1">
      <x:c r="A5" s="10" t="str">
        <x:v>B-005</x:v>
      </x:c>
      <x:c r="B5" s="10" t="str">
        <x:v>SN74AXC8T245PWR</x:v>
      </x:c>
      <x:c r="C5" s="10" t="str">
        <x:v>TSSOP-24</x:v>
      </x:c>
      <x:c r="D5" s="11" t="n">
        <x:v>2</x:v>
      </x:c>
      <x:c r="E5" s="12" t="n">
        <x:v>0.1</x:v>
      </x:c>
      <x:c r="F5" s="11" t="n">
        <x:f>ROUNDUP(D5*(1+E5),0)</x:f>
        <x:v>3</x:v>
      </x:c>
      <x:c r="G5" s="10" t="str">
        <x:v>VCCA/VCCB均不得大于3.6V；根据VCCO放置与计算数量</x:v>
      </x:c>
      <x:c r="H5" s="10"/>
      <x:c r="I5" s="10" t="str">
        <x:v>3V3 ONLY if GPIO; other domains require review</x:v>
      </x:c>
      <x:c r="J5" s="10" t="str">
        <x:v>NOT_VERIFIED</x:v>
      </x:c>
      <x:c r="K5" s="10" t="str">
        <x:v>Public source only; pin1/EP/native footprint UNVERIFIED</x:v>
      </x:c>
      <x:c r="L5" s="10" t="str">
        <x:v>https://www.ti.com/product/SN74AXC8T245</x:v>
      </x:c>
      <x:c r="M5" s="10" t="str">
        <x:v>AUTHORIZED_VENDOR_NOT_SELECTED</x:v>
      </x:c>
      <x:c r="N5" s="10" t="str">
        <x:v>NOT_APPROVED_FOR_PROCUREMENT</x:v>
      </x:c>
      <x:c r="O5" s="10" t="str">
        <x:v>Inherited candidate quantity; netlist/thermal review pending</x:v>
      </x:c>
      <x:c r="P5" s="10" t="str">
        <x:v>Texas Instruments</x:v>
      </x:c>
    </x:row>
    <x:row r="6" ht="52" customHeight="1">
      <x:c r="A6" s="10" t="str">
        <x:v>B-014</x:v>
      </x:c>
      <x:c r="B6" s="10" t="str">
        <x:v>AD7606BBSTZ-RL</x:v>
      </x:c>
      <x:c r="C6" s="10" t="str">
        <x:v>LQFP-64</x:v>
      </x:c>
      <x:c r="D6" s="11" t="n">
        <x:v>1</x:v>
      </x:c>
      <x:c r="E6" s="12" t="n">
        <x:v>0.1</x:v>
      </x:c>
      <x:c r="F6" s="11" t="n">
        <x:f>ROUNDUP(D6*(1+E6),0)</x:f>
        <x:v>2</x:v>
      </x:c>
      <x:c r="G6" s="10" t="str">
        <x:v>8×16bit同步；软件模式0x07=0xFF，220kHz；四DOUT；保留既有采样节奏</x:v>
      </x:c>
      <x:c r="H6" s="10"/>
      <x:c r="I6" s="10" t="str">
        <x:v>3V3 ONLY if GPIO; other domains require review</x:v>
      </x:c>
      <x:c r="J6" s="10" t="str">
        <x:v>NOT_VERIFIED</x:v>
      </x:c>
      <x:c r="K6" s="10" t="str">
        <x:v>Public source only; pin1/EP/native footprint UNVERIFIED</x:v>
      </x:c>
      <x:c r="L6" s="10" t="str">
        <x:v>https://www.analog.com/en/products/ad7606b.html</x:v>
      </x:c>
      <x:c r="M6" s="10" t="str">
        <x:v>AUTHORIZED_VENDOR_NOT_SELECTED</x:v>
      </x:c>
      <x:c r="N6" s="10" t="str">
        <x:v>NOT_APPROVED_FOR_PROCUREMENT</x:v>
      </x:c>
      <x:c r="O6" s="10" t="str">
        <x:v>FORMAL ADC unchanged; C-16 separate unapproved alternative</x:v>
      </x:c>
      <x:c r="P6" s="10" t="str">
        <x:v>Analog Devices</x:v>
      </x:c>
    </x:row>
    <x:row r="7" ht="52" customHeight="1">
      <x:c r="A7" s="10" t="str">
        <x:v>B-017</x:v>
      </x:c>
      <x:c r="B7" s="10" t="str">
        <x:v>SHT45-AD1B-R2</x:v>
      </x:c>
      <x:c r="C7" s="10" t="str">
        <x:v>DFN-4</x:v>
      </x:c>
      <x:c r="D7" s="11" t="n">
        <x:v>1</x:v>
      </x:c>
      <x:c r="E7" s="12" t="n">
        <x:v>0.1</x:v>
      </x:c>
      <x:c r="F7" s="11" t="n">
        <x:f>ROUNDUP(D7*(1+E7),0)</x:f>
        <x:v>2</x:v>
      </x:c>
      <x:c r="G7" s="10" t="str">
        <x:v>I2C，远离发射功率温升</x:v>
      </x:c>
      <x:c r="H7" s="10"/>
      <x:c r="I7" s="10" t="str">
        <x:v>3V3 ONLY if GPIO; other domains require review</x:v>
      </x:c>
      <x:c r="J7" s="10" t="str">
        <x:v>NOT_VERIFIED</x:v>
      </x:c>
      <x:c r="K7" s="10" t="str">
        <x:v>Public source only; pin1/EP/native footprint UNVERIFIED</x:v>
      </x:c>
      <x:c r="L7" s="10" t="str">
        <x:v>https://sensirion.com/products/catalog/SHT45</x:v>
      </x:c>
      <x:c r="M7" s="10" t="str">
        <x:v>AUTHORIZED_VENDOR_NOT_SELECTED</x:v>
      </x:c>
      <x:c r="N7" s="10" t="str">
        <x:v>NOT_APPROVED_FOR_PROCUREMENT</x:v>
      </x:c>
      <x:c r="O7" s="10" t="str">
        <x:v>Recommended central RH sensor, heater OFF</x:v>
      </x:c>
      <x:c r="P7" s="10" t="str">
        <x:v>Sensirion</x:v>
      </x:c>
    </x:row>
    <x:row r="8" ht="52" customHeight="1">
      <x:c r="A8" s="10" t="str">
        <x:v>B-020</x:v>
      </x:c>
      <x:c r="B8" s="10" t="str">
        <x:v>TPS259470LRPWR</x:v>
      </x:c>
      <x:c r="C8" s="10" t="str">
        <x:v>VQFN-10</x:v>
      </x:c>
      <x:c r="D8" s="11" t="n">
        <x:v>1</x:v>
      </x:c>
      <x:c r="E8" s="12" t="n">
        <x:v>0.1</x:v>
      </x:c>
      <x:c r="F8" s="11" t="n">
        <x:f>ROUNDUP(D8*(1+E8),0)</x:f>
        <x:v>2</x:v>
      </x:c>
      <x:c r="G8" s="10" t="str">
        <x:v>三路电源各自配置ILIM/OVLO；历史2A只是候选</x:v>
      </x:c>
      <x:c r="H8" s="10"/>
      <x:c r="I8" s="10" t="str">
        <x:v>3V3 ONLY if GPIO; other domains require review</x:v>
      </x:c>
      <x:c r="J8" s="10" t="str">
        <x:v>NOT_VERIFIED</x:v>
      </x:c>
      <x:c r="K8" s="10" t="str">
        <x:v>Public source only; pin1/EP/native footprint UNVERIFIED</x:v>
      </x:c>
      <x:c r="L8" s="10" t="str">
        <x:v>https://www.ti.com/product/TPS25947</x:v>
      </x:c>
      <x:c r="M8" s="10" t="str">
        <x:v>AUTHORIZED_VENDOR_NOT_SELECTED</x:v>
      </x:c>
      <x:c r="N8" s="10" t="str">
        <x:v>NOT_APPROVED_FOR_PROCUREMENT</x:v>
      </x:c>
      <x:c r="O8" s="10" t="str">
        <x:v>Inherited candidate quantity; netlist/thermal review pending</x:v>
      </x:c>
      <x:c r="P8" s="10" t="str">
        <x:v>Texas Instruments</x:v>
      </x:c>
    </x:row>
    <x:row r="9" ht="52" customHeight="1">
      <x:c r="A9" s="10" t="str">
        <x:v>B-021</x:v>
      </x:c>
      <x:c r="B9" s="10" t="str">
        <x:v>INA226AIDGSR</x:v>
      </x:c>
      <x:c r="C9" s="10" t="str">
        <x:v>VSSOP-10</x:v>
      </x:c>
      <x:c r="D9" s="11" t="n">
        <x:v>1</x:v>
      </x:c>
      <x:c r="E9" s="12" t="n">
        <x:v>0.1</x:v>
      </x:c>
      <x:c r="F9" s="11" t="n">
        <x:f>ROUNDUP(D9*(1+E9),0)</x:f>
        <x:v>2</x:v>
      </x:c>
      <x:c r="G9" s="10" t="str">
        <x:v>两阵列+中央各一颗，shunt实际功耗需核算</x:v>
      </x:c>
      <x:c r="H9" s="10"/>
      <x:c r="I9" s="10" t="str">
        <x:v>3V3 ONLY if GPIO; other domains require review</x:v>
      </x:c>
      <x:c r="J9" s="10" t="str">
        <x:v>NOT_VERIFIED</x:v>
      </x:c>
      <x:c r="K9" s="10" t="str">
        <x:v>Public source only; pin1/EP/native footprint UNVERIFIED</x:v>
      </x:c>
      <x:c r="L9" s="10" t="str">
        <x:v>https://www.ti.com/product/INA226</x:v>
      </x:c>
      <x:c r="M9" s="10" t="str">
        <x:v>AUTHORIZED_VENDOR_NOT_SELECTED</x:v>
      </x:c>
      <x:c r="N9" s="10" t="str">
        <x:v>NOT_APPROVED_FOR_PROCUREMENT</x:v>
      </x:c>
      <x:c r="O9" s="10" t="str">
        <x:v>Inherited candidate quantity; netlist/thermal review pending</x:v>
      </x:c>
      <x:c r="P9" s="10" t="str">
        <x:v>Texas Instruments</x:v>
      </x:c>
    </x:row>
    <x:row r="10" ht="52" customHeight="1">
      <x:c r="A10" s="10" t="str">
        <x:v>B-022</x:v>
      </x:c>
      <x:c r="B10" s="10" t="str">
        <x:v>20mΩ 2512 1% 2W</x:v>
      </x:c>
      <x:c r="C10" s="10" t="str">
        <x:v>2512</x:v>
      </x:c>
      <x:c r="D10" s="11" t="n">
        <x:v>1</x:v>
      </x:c>
      <x:c r="E10" s="12" t="n">
        <x:v>0.1</x:v>
      </x:c>
      <x:c r="F10" s="11" t="n">
        <x:f>ROUNDUP(D10*(1+E10),0)</x:f>
        <x:v>2</x:v>
      </x:c>
      <x:c r="G10" s="10" t="str">
        <x:v>20mΩ：INA226电流测量满量程约±4.096A</x:v>
      </x:c>
      <x:c r="H10" s="10"/>
      <x:c r="I10" s="10" t="str">
        <x:v>3V3 ONLY if GPIO; other domains require review</x:v>
      </x:c>
      <x:c r="J10" s="10" t="str">
        <x:v>NOT_VERIFIED</x:v>
      </x:c>
      <x:c r="K10" s="10" t="str">
        <x:v>Public source only; pin1/EP/native footprint UNVERIFIED</x:v>
      </x:c>
      <x:c r="L10" s="10" t="str">
        <x:v>https://www.lcsc.com</x:v>
      </x:c>
      <x:c r="M10" s="10" t="str">
        <x:v>AUTHORIZED_VENDOR_NOT_SELECTED</x:v>
      </x:c>
      <x:c r="N10" s="10" t="str">
        <x:v>NOT_APPROVED_FOR_PROCUREMENT</x:v>
      </x:c>
      <x:c r="O10" s="10" t="str">
        <x:v>Inherited candidate quantity; netlist/thermal review pending</x:v>
      </x:c>
      <x:c r="P10" s="10" t="str">
        <x:v>UNKNOWN; vendor evidence required</x:v>
      </x:c>
    </x:row>
    <x:row r="11" ht="52" customHeight="1">
      <x:c r="A11" s="10" t="str">
        <x:v>B-023</x:v>
      </x:c>
      <x:c r="B11" s="10" t="str">
        <x:v>SMBJ20A 类</x:v>
      </x:c>
      <x:c r="C11" s="10" t="str">
        <x:v>SMB</x:v>
      </x:c>
      <x:c r="D11" s="11" t="n">
        <x:v>1</x:v>
      </x:c>
      <x:c r="E11" s="12" t="n">
        <x:v>0.1</x:v>
      </x:c>
      <x:c r="F11" s="11" t="n">
        <x:f>ROUNDUP(D11*(1+E11),0)</x:f>
        <x:v>2</x:v>
      </x:c>
      <x:c r="G11" s="10" t="str">
        <x:v>SMBJ20A候选撤销释放；32.4V钳位高于eFuse28V abs max</x:v>
      </x:c>
      <x:c r="H11" s="10"/>
      <x:c r="I11" s="10" t="str">
        <x:v>3V3 ONLY if GPIO; other domains require review</x:v>
      </x:c>
      <x:c r="J11" s="10" t="str">
        <x:v>NOT_VERIFIED</x:v>
      </x:c>
      <x:c r="K11" s="10" t="str">
        <x:v>Public source only; pin1/EP/native footprint UNVERIFIED</x:v>
      </x:c>
      <x:c r="L11" s="10" t="str">
        <x:v>https://www.littelfuse.com/products/tvs-diodes/smbj.aspx</x:v>
      </x:c>
      <x:c r="M11" s="10" t="str">
        <x:v>AUTHORIZED_VENDOR_NOT_SELECTED</x:v>
      </x:c>
      <x:c r="N11" s="10" t="str">
        <x:v>NOT_APPROVED_FOR_PROCUREMENT</x:v>
      </x:c>
      <x:c r="O11" s="10" t="str">
        <x:v>SMBJ20A protection coordination OPEN; cannot release</x:v>
      </x:c>
      <x:c r="P11" s="10" t="str">
        <x:v>UNKNOWN; vendor evidence required</x:v>
      </x:c>
    </x:row>
    <x:row r="12" ht="52" customHeight="1">
      <x:c r="A12" s="10" t="str">
        <x:v>B-024</x:v>
      </x:c>
      <x:c r="B12" s="10" t="str">
        <x:v>2A 慢断候选，具体值TBD</x:v>
      </x:c>
      <x:c r="C12" s="10" t="str">
        <x:v>TBD</x:v>
      </x:c>
      <x:c r="D12" s="11" t="n">
        <x:v>1</x:v>
      </x:c>
      <x:c r="E12" s="12" t="n">
        <x:v>0.1</x:v>
      </x:c>
      <x:c r="F12" s="11" t="n">
        <x:f>ROUNDUP(D12*(1+E12),0)</x:f>
        <x:v>2</x:v>
      </x:c>
      <x:c r="G12" s="10" t="str">
        <x:v>3路/需按实测峰值选值</x:v>
      </x:c>
      <x:c r="H12" s="10"/>
      <x:c r="I12" s="10" t="str">
        <x:v>3V3 ONLY if GPIO; other domains require review</x:v>
      </x:c>
      <x:c r="J12" s="10" t="str">
        <x:v>NOT_VERIFIED</x:v>
      </x:c>
      <x:c r="K12" s="10" t="str">
        <x:v>Public source only; pin1/EP/native footprint UNVERIFIED</x:v>
      </x:c>
      <x:c r="L12" s="10" t="str">
        <x:v>https://www.lcsc.com</x:v>
      </x:c>
      <x:c r="M12" s="10" t="str">
        <x:v>AUTHORIZED_VENDOR_NOT_SELECTED</x:v>
      </x:c>
      <x:c r="N12" s="10" t="str">
        <x:v>NOT_APPROVED_FOR_PROCUREMENT</x:v>
      </x:c>
      <x:c r="O12" s="10" t="str">
        <x:v>Inherited candidate quantity; netlist/thermal review pending</x:v>
      </x:c>
      <x:c r="P12" s="10" t="str">
        <x:v>UNKNOWN; vendor evidence required</x:v>
      </x:c>
    </x:row>
    <x:row r="13" ht="52" customHeight="1">
      <x:c r="A13" s="10" t="str">
        <x:v>B-031</x:v>
      </x:c>
      <x:c r="B13" s="10" t="str">
        <x:v>BLM21PG221SN1D</x:v>
      </x:c>
      <x:c r="C13" s="10" t="str">
        <x:v>0805</x:v>
      </x:c>
      <x:c r="D13" s="11" t="n">
        <x:v>1</x:v>
      </x:c>
      <x:c r="E13" s="12" t="n">
        <x:v>0.1</x:v>
      </x:c>
      <x:c r="F13" s="11" t="n">
        <x:f>ROUNDUP(D13*(1+E13),0)</x:f>
        <x:v>2</x:v>
      </x:c>
      <x:c r="G13" s="10" t="str">
        <x:v>220Ω@100MHz / 2A 标称候选</x:v>
      </x:c>
      <x:c r="H13" s="10"/>
      <x:c r="I13" s="10" t="str">
        <x:v>3V3 ONLY if GPIO; other domains require review</x:v>
      </x:c>
      <x:c r="J13" s="10" t="str">
        <x:v>NOT_VERIFIED</x:v>
      </x:c>
      <x:c r="K13" s="10" t="str">
        <x:v>Public source only; pin1/EP/native footprint UNVERIFIED</x:v>
      </x:c>
      <x:c r="L13" s="10" t="str">
        <x:v>https://www.lcsc.com</x:v>
      </x:c>
      <x:c r="M13" s="10" t="str">
        <x:v>AUTHORIZED_VENDOR_NOT_SELECTED</x:v>
      </x:c>
      <x:c r="N13" s="10" t="str">
        <x:v>NOT_APPROVED_FOR_PROCUREMENT</x:v>
      </x:c>
      <x:c r="O13" s="10" t="str">
        <x:v>Inherited candidate quantity; netlist/thermal review pending</x:v>
      </x:c>
      <x:c r="P13" s="10" t="str">
        <x:v>UNKNOWN; vendor evidence required</x:v>
      </x:c>
    </x:row>
    <x:row r="14" ht="52" customHeight="1">
      <x:c r="A14" s="10" t="str">
        <x:v>B-032</x:v>
      </x:c>
      <x:c r="B14" s="10" t="str">
        <x:v>TMP117MAIDRVR</x:v>
      </x:c>
      <x:c r="C14" s="10" t="str">
        <x:v>WSON-6</x:v>
      </x:c>
      <x:c r="D14" s="11" t="n">
        <x:v>1</x:v>
      </x:c>
      <x:c r="E14" s="12" t="n">
        <x:v>0.1</x:v>
      </x:c>
      <x:c r="F14" s="11" t="n">
        <x:f>ROUNDUP(D14*(1+E14),0)</x:f>
        <x:v>2</x:v>
      </x:c>
      <x:c r="G14" s="10" t="str">
        <x:v>监测驱动温度，不等于空气温湿度</x:v>
      </x:c>
      <x:c r="H14" s="10"/>
      <x:c r="I14" s="10" t="str">
        <x:v>3V3 ONLY if GPIO; other domains require review</x:v>
      </x:c>
      <x:c r="J14" s="10" t="str">
        <x:v>NOT_VERIFIED</x:v>
      </x:c>
      <x:c r="K14" s="10" t="str">
        <x:v>Public source only; pin1/EP/native footprint UNVERIFIED</x:v>
      </x:c>
      <x:c r="L14" s="10" t="str">
        <x:v>https://www.ti.com/product/TMP117</x:v>
      </x:c>
      <x:c r="M14" s="10" t="str">
        <x:v>AUTHORIZED_VENDOR_NOT_SELECTED</x:v>
      </x:c>
      <x:c r="N14" s="10" t="str">
        <x:v>NOT_APPROVED_FOR_PROCUREMENT</x:v>
      </x:c>
      <x:c r="O14" s="10" t="str">
        <x:v>REQUIRED 3TMP117; center48/up49/down4B</x:v>
      </x:c>
      <x:c r="P14" s="10" t="str">
        <x:v>Texas Instruments</x:v>
      </x:c>
    </x:row>
    <x:row r="15" ht="52" customHeight="1">
      <x:c r="A15" s="10" t="str">
        <x:v>B-033</x:v>
      </x:c>
      <x:c r="B15" s="10" t="str">
        <x:v>2×20 2.54mm 对应插座/转接线（按实板决定）</x:v>
      </x:c>
      <x:c r="C15" s="10" t="str">
        <x:v>THT/线束TBD</x:v>
      </x:c>
      <x:c r="D15" s="11" t="n">
        <x:v>2</x:v>
      </x:c>
      <x:c r="E15" s="12" t="n">
        <x:v>0.1</x:v>
      </x:c>
      <x:c r="F15" s="11" t="n">
        <x:f>ROUNDUP(D15*(1+E15),0)</x:f>
        <x:v>3</x:v>
      </x:c>
      <x:c r="G15" s="10" t="str">
        <x:v>2套对应PL扩展口；针脚编号必须实测</x:v>
      </x:c>
      <x:c r="H15" s="10"/>
      <x:c r="I15" s="10" t="str">
        <x:v>3V3 ONLY if GPIO; other domains require review</x:v>
      </x:c>
      <x:c r="J15" s="10" t="str">
        <x:v>NOT_VERIFIED</x:v>
      </x:c>
      <x:c r="K15" s="10" t="str">
        <x:v>Public source only; pin1/EP/native footprint UNVERIFIED</x:v>
      </x:c>
      <x:c r="L15" s="10" t="str">
        <x:v>https://www.alinx.com/public/upload/file/AX7020_UG.pdf</x:v>
      </x:c>
      <x:c r="M15" s="10" t="str">
        <x:v>AUTHORIZED_VENDOR_NOT_SELECTED</x:v>
      </x:c>
      <x:c r="N15" s="10" t="str">
        <x:v>NOT_APPROVED_FOR_PROCUREMENT</x:v>
      </x:c>
      <x:c r="O15" s="10" t="str">
        <x:v>Inherited candidate quantity; netlist/thermal review pending</x:v>
      </x:c>
      <x:c r="P15" s="10" t="str">
        <x:v>UNKNOWN; vendor evidence required</x:v>
      </x:c>
    </x:row>
    <x:row r="16" ht="52" customHeight="1">
      <x:c r="A16" s="10" t="str">
        <x:v>B-035</x:v>
      </x:c>
      <x:c r="B16" s="10" t="str">
        <x:v>2×25 IDC防呆（候选）</x:v>
      </x:c>
      <x:c r="C16" s="10" t="str">
        <x:v>THT</x:v>
      </x:c>
      <x:c r="D16" s="11" t="n">
        <x:v>2</x:v>
      </x:c>
      <x:c r="E16" s="12" t="n">
        <x:v>0.1</x:v>
      </x:c>
      <x:c r="F16" s="11" t="n">
        <x:f>ROUNDUP(D16*(1+E16),0)</x:f>
        <x:v>3</x:v>
      </x:c>
      <x:c r="G16" s="10" t="str">
        <x:v>上下各一个，配合Array接口</x:v>
      </x:c>
      <x:c r="H16" s="10"/>
      <x:c r="I16" s="10" t="str">
        <x:v>3V3 ONLY if GPIO; other domains require review</x:v>
      </x:c>
      <x:c r="J16" s="10" t="str">
        <x:v>NOT_VERIFIED</x:v>
      </x:c>
      <x:c r="K16" s="10" t="str">
        <x:v>Public source only; pin1/EP/native footprint UNVERIFIED</x:v>
      </x:c>
      <x:c r="L16" s="10" t="str">
        <x:v>https://www.lcsc.com/custom-cable-assembly</x:v>
      </x:c>
      <x:c r="M16" s="10" t="str">
        <x:v>AUTHORIZED_VENDOR_NOT_SELECTED</x:v>
      </x:c>
      <x:c r="N16" s="10" t="str">
        <x:v>NOT_APPROVED_FOR_PROCUREMENT</x:v>
      </x:c>
      <x:c r="O16" s="10" t="str">
        <x:v>Inherited candidate quantity; netlist/thermal review pending</x:v>
      </x:c>
      <x:c r="P16" s="10" t="str">
        <x:v>UNKNOWN; vendor evidence required</x:v>
      </x:c>
    </x:row>
    <x:row r="17" ht="52" customHeight="1">
      <x:c r="A17" s="10" t="str">
        <x:v>B-036</x:v>
      </x:c>
      <x:c r="B17" s="10" t="str">
        <x:v>不带变压器的被动8P8C/屏蔽连接器</x:v>
      </x:c>
      <x:c r="C17" s="10" t="str">
        <x:v>THT</x:v>
      </x:c>
      <x:c r="D17" s="11" t="n">
        <x:v>2</x:v>
      </x:c>
      <x:c r="E17" s="12" t="n">
        <x:v>0.1</x:v>
      </x:c>
      <x:c r="F17" s="11" t="n">
        <x:f>ROUNDUP(D17*(1+E17),0)</x:f>
        <x:v>3</x:v>
      </x:c>
      <x:c r="G17" s="10" t="str">
        <x:v>上/下阵列各1个，中央2个，明确标非以太网</x:v>
      </x:c>
      <x:c r="H17" s="10"/>
      <x:c r="I17" s="10" t="str">
        <x:v>3V3 ONLY if GPIO; other domains require review</x:v>
      </x:c>
      <x:c r="J17" s="10" t="str">
        <x:v>NOT_VERIFIED</x:v>
      </x:c>
      <x:c r="K17" s="10" t="str">
        <x:v>Public source only; pin1/EP/native footprint UNVERIFIED</x:v>
      </x:c>
      <x:c r="L17" s="10" t="str">
        <x:v>https://www.lcsc.com</x:v>
      </x:c>
      <x:c r="M17" s="10" t="str">
        <x:v>AUTHORIZED_VENDOR_NOT_SELECTED</x:v>
      </x:c>
      <x:c r="N17" s="10" t="str">
        <x:v>NOT_APPROVED_FOR_PROCUREMENT</x:v>
      </x:c>
      <x:c r="O17" s="10" t="str">
        <x:v>Inherited candidate quantity; netlist/thermal review pending</x:v>
      </x:c>
      <x:c r="P17" s="10" t="str">
        <x:v>UNKNOWN; vendor evidence required</x:v>
      </x:c>
    </x:row>
    <x:row r="18" ht="52" customHeight="1">
      <x:c r="A18" s="10" t="str">
        <x:v>B-037</x:v>
      </x:c>
      <x:c r="B18" s="10" t="str">
        <x:v>JST XH 4P</x:v>
      </x:c>
      <x:c r="C18" s="10" t="str">
        <x:v>THT</x:v>
      </x:c>
      <x:c r="D18" s="11" t="n">
        <x:v>1</x:v>
      </x:c>
      <x:c r="E18" s="12" t="n">
        <x:v>0.1</x:v>
      </x:c>
      <x:c r="F18" s="11" t="n">
        <x:f>ROUNDUP(D18*(1+E18),0)</x:f>
        <x:v>2</x:v>
      </x:c>
      <x:c r="G18" s="10" t="str">
        <x:v>3.3V/GND/SDA/SCL；电源来自中央辅助电源</x:v>
      </x:c>
      <x:c r="H18" s="10"/>
      <x:c r="I18" s="10" t="str">
        <x:v>3V3 ONLY if GPIO; other domains require review</x:v>
      </x:c>
      <x:c r="J18" s="10" t="str">
        <x:v>NOT_VERIFIED</x:v>
      </x:c>
      <x:c r="K18" s="10" t="str">
        <x:v>Public source only; pin1/EP/native footprint UNVERIFIED</x:v>
      </x:c>
      <x:c r="L18" s="10" t="str">
        <x:v>https://www.lcsc.com</x:v>
      </x:c>
      <x:c r="M18" s="10" t="str">
        <x:v>AUTHORIZED_VENDOR_NOT_SELECTED</x:v>
      </x:c>
      <x:c r="N18" s="10" t="str">
        <x:v>NOT_APPROVED_FOR_PROCUREMENT</x:v>
      </x:c>
      <x:c r="O18" s="10" t="str">
        <x:v>Inherited candidate quantity; netlist/thermal review pending</x:v>
      </x:c>
      <x:c r="P18" s="10" t="str">
        <x:v>UNKNOWN; vendor evidence required</x:v>
      </x:c>
    </x:row>
    <x:row r="19" ht="52" customHeight="1">
      <x:c r="A19" s="10" t="str">
        <x:v>B-046</x:v>
      </x:c>
      <x:c r="B19" s="10" t="str">
        <x:v>100nF 50V X7R</x:v>
      </x:c>
      <x:c r="C19" s="10" t="str">
        <x:v>0603</x:v>
      </x:c>
      <x:c r="D19" s="11" t="n">
        <x:v>21</x:v>
      </x:c>
      <x:c r="E19" s="12" t="n">
        <x:v>0.1</x:v>
      </x:c>
      <x:c r="F19" s="11" t="n">
        <x:f>ROUNDUP(D19*(1+E19),0)</x:f>
        <x:v>24</x:v>
      </x:c>
      <x:c r="G19" s="10" t="str">
        <x:v>按原v5零件计数移植；新布板新增保护网路另计</x:v>
      </x:c>
      <x:c r="H19" s="10"/>
      <x:c r="I19" s="10" t="str">
        <x:v>3V3 ONLY if GPIO; other domains require review</x:v>
      </x:c>
      <x:c r="J19" s="10" t="str">
        <x:v>NOT_VERIFIED</x:v>
      </x:c>
      <x:c r="K19" s="10" t="str">
        <x:v>Public source only; pin1/EP/native footprint UNVERIFIED</x:v>
      </x:c>
      <x:c r="L19" s="10" t="str">
        <x:v>https://github.com/loverlike1216/SonoField-FPGA/blob/main/v5/hardware/bom/BOM_MASTER.csv</x:v>
      </x:c>
      <x:c r="M19" s="10" t="str">
        <x:v>AUTHORIZED_VENDOR_NOT_SELECTED</x:v>
      </x:c>
      <x:c r="N19" s="10" t="str">
        <x:v>NOT_APPROVED_FOR_PROCUREMENT</x:v>
      </x:c>
      <x:c r="O19" s="10" t="str">
        <x:v>Inherited candidate quantity; netlist/thermal review pending</x:v>
      </x:c>
      <x:c r="P19" s="10" t="str">
        <x:v>UNKNOWN; vendor evidence required</x:v>
      </x:c>
    </x:row>
    <x:row r="20" ht="52" customHeight="1">
      <x:c r="A20" s="10" t="str">
        <x:v>B-047</x:v>
      </x:c>
      <x:c r="B20" s="10" t="str">
        <x:v>1µF 25V X7R</x:v>
      </x:c>
      <x:c r="C20" s="10" t="str">
        <x:v>0805</x:v>
      </x:c>
      <x:c r="D20" s="11" t="n">
        <x:v>2</x:v>
      </x:c>
      <x:c r="E20" s="12" t="n">
        <x:v>0.1</x:v>
      </x:c>
      <x:c r="F20" s="11" t="n">
        <x:f>ROUNDUP(D20*(1+E20),0)</x:f>
        <x:v>3</x:v>
      </x:c>
      <x:c r="G20" s="10" t="str">
        <x:v>按原v5零件计数移植；新布板新增保护网路另计</x:v>
      </x:c>
      <x:c r="H20" s="10"/>
      <x:c r="I20" s="10" t="str">
        <x:v>3V3 ONLY if GPIO; other domains require review</x:v>
      </x:c>
      <x:c r="J20" s="10" t="str">
        <x:v>NOT_VERIFIED</x:v>
      </x:c>
      <x:c r="K20" s="10" t="str">
        <x:v>Public source only; pin1/EP/native footprint UNVERIFIED</x:v>
      </x:c>
      <x:c r="L20" s="10" t="str">
        <x:v>https://github.com/loverlike1216/SonoField-FPGA/blob/main/v5/hardware/bom/BOM_MASTER.csv</x:v>
      </x:c>
      <x:c r="M20" s="10" t="str">
        <x:v>AUTHORIZED_VENDOR_NOT_SELECTED</x:v>
      </x:c>
      <x:c r="N20" s="10" t="str">
        <x:v>NOT_APPROVED_FOR_PROCUREMENT</x:v>
      </x:c>
      <x:c r="O20" s="10" t="str">
        <x:v>Inherited candidate quantity; netlist/thermal review pending</x:v>
      </x:c>
      <x:c r="P20" s="10" t="str">
        <x:v>UNKNOWN; vendor evidence required</x:v>
      </x:c>
    </x:row>
    <x:row r="21" ht="52" customHeight="1">
      <x:c r="A21" s="10" t="str">
        <x:v>B-048</x:v>
      </x:c>
      <x:c r="B21" s="10" t="str">
        <x:v>22µF 25V X7R</x:v>
      </x:c>
      <x:c r="C21" s="10" t="str">
        <x:v>1210</x:v>
      </x:c>
      <x:c r="D21" s="11" t="n">
        <x:v>4</x:v>
      </x:c>
      <x:c r="E21" s="12" t="n">
        <x:v>0.1</x:v>
      </x:c>
      <x:c r="F21" s="11" t="n">
        <x:f>ROUNDUP(D21*(1+E21),0)</x:f>
        <x:v>5</x:v>
      </x:c>
      <x:c r="G21" s="10" t="str">
        <x:v>按原v5零件计数移植；新布板新增保护网路另计</x:v>
      </x:c>
      <x:c r="H21" s="10"/>
      <x:c r="I21" s="10" t="str">
        <x:v>3V3 ONLY if GPIO; other domains require review</x:v>
      </x:c>
      <x:c r="J21" s="10" t="str">
        <x:v>NOT_VERIFIED</x:v>
      </x:c>
      <x:c r="K21" s="10" t="str">
        <x:v>Public source only; pin1/EP/native footprint UNVERIFIED</x:v>
      </x:c>
      <x:c r="L21" s="10" t="str">
        <x:v>https://github.com/loverlike1216/SonoField-FPGA/blob/main/v5/hardware/bom/BOM_MASTER.csv</x:v>
      </x:c>
      <x:c r="M21" s="10" t="str">
        <x:v>AUTHORIZED_VENDOR_NOT_SELECTED</x:v>
      </x:c>
      <x:c r="N21" s="10" t="str">
        <x:v>NOT_APPROVED_FOR_PROCUREMENT</x:v>
      </x:c>
      <x:c r="O21" s="10" t="str">
        <x:v>Inherited candidate quantity; netlist/thermal review pending</x:v>
      </x:c>
      <x:c r="P21" s="10" t="str">
        <x:v>UNKNOWN; vendor evidence required</x:v>
      </x:c>
    </x:row>
    <x:row r="22" ht="52" customHeight="1">
      <x:c r="A22" s="10" t="str">
        <x:v>B-049</x:v>
      </x:c>
      <x:c r="B22" s="10" t="str">
        <x:v>10µF 25V X7R</x:v>
      </x:c>
      <x:c r="C22" s="10" t="str">
        <x:v>1206</x:v>
      </x:c>
      <x:c r="D22" s="11" t="n">
        <x:v>5</x:v>
      </x:c>
      <x:c r="E22" s="12" t="n">
        <x:v>0.1</x:v>
      </x:c>
      <x:c r="F22" s="11" t="n">
        <x:f>ROUNDUP(D22*(1+E22),0)</x:f>
        <x:v>6</x:v>
      </x:c>
      <x:c r="G22" s="10" t="str">
        <x:v>按原v5零件计数移植；新布板新增保护网路另计</x:v>
      </x:c>
      <x:c r="H22" s="10"/>
      <x:c r="I22" s="10" t="str">
        <x:v>3V3 ONLY if GPIO; other domains require review</x:v>
      </x:c>
      <x:c r="J22" s="10" t="str">
        <x:v>NOT_VERIFIED</x:v>
      </x:c>
      <x:c r="K22" s="10" t="str">
        <x:v>Public source only; pin1/EP/native footprint UNVERIFIED</x:v>
      </x:c>
      <x:c r="L22" s="10" t="str">
        <x:v>https://github.com/loverlike1216/SonoField-FPGA/blob/main/v5/hardware/bom/BOM_MASTER.csv</x:v>
      </x:c>
      <x:c r="M22" s="10" t="str">
        <x:v>AUTHORIZED_VENDOR_NOT_SELECTED</x:v>
      </x:c>
      <x:c r="N22" s="10" t="str">
        <x:v>NOT_APPROVED_FOR_PROCUREMENT</x:v>
      </x:c>
      <x:c r="O22" s="10" t="str">
        <x:v>Inherited candidate quantity; netlist/thermal review pending</x:v>
      </x:c>
      <x:c r="P22" s="10" t="str">
        <x:v>UNKNOWN; vendor evidence required</x:v>
      </x:c>
    </x:row>
    <x:row r="23" ht="52" customHeight="1">
      <x:c r="A23" s="10" t="str">
        <x:v>B-050</x:v>
      </x:c>
      <x:c r="B23" s="10" t="str">
        <x:v>2.2µF 25V X7R</x:v>
      </x:c>
      <x:c r="C23" s="10" t="str">
        <x:v>0805</x:v>
      </x:c>
      <x:c r="D23" s="11" t="n">
        <x:v>2</x:v>
      </x:c>
      <x:c r="E23" s="12" t="n">
        <x:v>0.1</x:v>
      </x:c>
      <x:c r="F23" s="11" t="n">
        <x:f>ROUNDUP(D23*(1+E23),0)</x:f>
        <x:v>3</x:v>
      </x:c>
      <x:c r="G23" s="10" t="str">
        <x:v>按原v5零件计数移植；新布板新增保护网路另计</x:v>
      </x:c>
      <x:c r="H23" s="10"/>
      <x:c r="I23" s="10" t="str">
        <x:v>3V3 ONLY if GPIO; other domains require review</x:v>
      </x:c>
      <x:c r="J23" s="10" t="str">
        <x:v>NOT_VERIFIED</x:v>
      </x:c>
      <x:c r="K23" s="10" t="str">
        <x:v>Public source only; pin1/EP/native footprint UNVERIFIED</x:v>
      </x:c>
      <x:c r="L23" s="10" t="str">
        <x:v>https://github.com/loverlike1216/SonoField-FPGA/blob/main/v5/hardware/bom/BOM_MASTER.csv</x:v>
      </x:c>
      <x:c r="M23" s="10" t="str">
        <x:v>AUTHORIZED_VENDOR_NOT_SELECTED</x:v>
      </x:c>
      <x:c r="N23" s="10" t="str">
        <x:v>NOT_APPROVED_FOR_PROCUREMENT</x:v>
      </x:c>
      <x:c r="O23" s="10" t="str">
        <x:v>Inherited candidate quantity; netlist/thermal review pending</x:v>
      </x:c>
      <x:c r="P23" s="10" t="str">
        <x:v>UNKNOWN; vendor evidence required</x:v>
      </x:c>
    </x:row>
    <x:row r="24" ht="52" customHeight="1">
      <x:c r="A24" s="10" t="str">
        <x:v>B-053</x:v>
      </x:c>
      <x:c r="B24" s="10" t="str">
        <x:v>1nF 50V C0G</x:v>
      </x:c>
      <x:c r="C24" s="10" t="str">
        <x:v>0603</x:v>
      </x:c>
      <x:c r="D24" s="11" t="n">
        <x:v>8</x:v>
      </x:c>
      <x:c r="E24" s="12" t="n">
        <x:v>0.1</x:v>
      </x:c>
      <x:c r="F24" s="11" t="n">
        <x:f>ROUNDUP(D24*(1+E24),0)</x:f>
        <x:v>9</x:v>
      </x:c>
      <x:c r="G24" s="10" t="str">
        <x:v>按原v5零件计数移植；新布板新增保护网路另计</x:v>
      </x:c>
      <x:c r="H24" s="10"/>
      <x:c r="I24" s="10" t="str">
        <x:v>3V3 ONLY if GPIO; other domains require review</x:v>
      </x:c>
      <x:c r="J24" s="10" t="str">
        <x:v>NOT_VERIFIED</x:v>
      </x:c>
      <x:c r="K24" s="10" t="str">
        <x:v>Public source only; pin1/EP/native footprint UNVERIFIED</x:v>
      </x:c>
      <x:c r="L24" s="10" t="str">
        <x:v>https://github.com/loverlike1216/SonoField-FPGA/blob/main/v5/hardware/bom/BOM_MASTER.csv</x:v>
      </x:c>
      <x:c r="M24" s="10" t="str">
        <x:v>AUTHORIZED_VENDOR_NOT_SELECTED</x:v>
      </x:c>
      <x:c r="N24" s="10" t="str">
        <x:v>NOT_APPROVED_FOR_PROCUREMENT</x:v>
      </x:c>
      <x:c r="O24" s="10" t="str">
        <x:v>Inherited candidate quantity; netlist/thermal review pending</x:v>
      </x:c>
      <x:c r="P24" s="10" t="str">
        <x:v>UNKNOWN; vendor evidence required</x:v>
      </x:c>
    </x:row>
    <x:row r="25" ht="52" customHeight="1">
      <x:c r="A25" s="10" t="str">
        <x:v>B-054</x:v>
      </x:c>
      <x:c r="B25" s="10" t="str">
        <x:v>100kΩ 1%</x:v>
      </x:c>
      <x:c r="C25" s="10" t="str">
        <x:v>0603</x:v>
      </x:c>
      <x:c r="D25" s="11" t="n">
        <x:v>2</x:v>
      </x:c>
      <x:c r="E25" s="12" t="n">
        <x:v>0.1</x:v>
      </x:c>
      <x:c r="F25" s="11" t="n">
        <x:f>ROUNDUP(D25*(1+E25),0)</x:f>
        <x:v>3</x:v>
      </x:c>
      <x:c r="G25" s="10" t="str">
        <x:v>按原v5零件计数移植；新布板新增保护网路另计</x:v>
      </x:c>
      <x:c r="H25" s="10"/>
      <x:c r="I25" s="10" t="str">
        <x:v>3V3 ONLY if GPIO; other domains require review</x:v>
      </x:c>
      <x:c r="J25" s="10" t="str">
        <x:v>NOT_VERIFIED</x:v>
      </x:c>
      <x:c r="K25" s="10" t="str">
        <x:v>Public source only; pin1/EP/native footprint UNVERIFIED</x:v>
      </x:c>
      <x:c r="L25" s="10" t="str">
        <x:v>https://github.com/loverlike1216/SonoField-FPGA/blob/main/v5/hardware/bom/BOM_MASTER.csv</x:v>
      </x:c>
      <x:c r="M25" s="10" t="str">
        <x:v>AUTHORIZED_VENDOR_NOT_SELECTED</x:v>
      </x:c>
      <x:c r="N25" s="10" t="str">
        <x:v>NOT_APPROVED_FOR_PROCUREMENT</x:v>
      </x:c>
      <x:c r="O25" s="10" t="str">
        <x:v>Inherited candidate quantity; netlist/thermal review pending</x:v>
      </x:c>
      <x:c r="P25" s="10" t="str">
        <x:v>UNKNOWN; vendor evidence required</x:v>
      </x:c>
    </x:row>
    <x:row r="26" ht="52" customHeight="1">
      <x:c r="A26" s="10" t="str">
        <x:v>B-056</x:v>
      </x:c>
      <x:c r="B26" s="10" t="str">
        <x:v>4.7kΩ 1%</x:v>
      </x:c>
      <x:c r="C26" s="10" t="str">
        <x:v>0603</x:v>
      </x:c>
      <x:c r="D26" s="11" t="n">
        <x:v>2</x:v>
      </x:c>
      <x:c r="E26" s="12" t="n">
        <x:v>0.1</x:v>
      </x:c>
      <x:c r="F26" s="11" t="n">
        <x:f>ROUNDUP(D26*(1+E26),0)</x:f>
        <x:v>3</x:v>
      </x:c>
      <x:c r="G26" s="10" t="str">
        <x:v>按原v5零件计数移植；新布板新增保护网路另计</x:v>
      </x:c>
      <x:c r="H26" s="10"/>
      <x:c r="I26" s="10" t="str">
        <x:v>3V3 ONLY if GPIO; other domains require review</x:v>
      </x:c>
      <x:c r="J26" s="10" t="str">
        <x:v>NOT_VERIFIED</x:v>
      </x:c>
      <x:c r="K26" s="10" t="str">
        <x:v>Public source only; pin1/EP/native footprint UNVERIFIED</x:v>
      </x:c>
      <x:c r="L26" s="10" t="str">
        <x:v>https://github.com/loverlike1216/SonoField-FPGA/blob/main/v5/hardware/bom/BOM_MASTER.csv</x:v>
      </x:c>
      <x:c r="M26" s="10" t="str">
        <x:v>AUTHORIZED_VENDOR_NOT_SELECTED</x:v>
      </x:c>
      <x:c r="N26" s="10" t="str">
        <x:v>NOT_APPROVED_FOR_PROCUREMENT</x:v>
      </x:c>
      <x:c r="O26" s="10" t="str">
        <x:v>Inherited candidate quantity; netlist/thermal review pending</x:v>
      </x:c>
      <x:c r="P26" s="10" t="str">
        <x:v>UNKNOWN; vendor evidence required</x:v>
      </x:c>
    </x:row>
    <x:row r="27" ht="52" customHeight="1">
      <x:c r="A27" s="10" t="str">
        <x:v>B-058</x:v>
      </x:c>
      <x:c r="B27" s="10" t="str">
        <x:v>47Ω 1%</x:v>
      </x:c>
      <x:c r="C27" s="10" t="str">
        <x:v>0603</x:v>
      </x:c>
      <x:c r="D27" s="11" t="n">
        <x:v>8</x:v>
      </x:c>
      <x:c r="E27" s="12" t="n">
        <x:v>0.1</x:v>
      </x:c>
      <x:c r="F27" s="11" t="n">
        <x:f>ROUNDUP(D27*(1+E27),0)</x:f>
        <x:v>9</x:v>
      </x:c>
      <x:c r="G27" s="10" t="str">
        <x:v>按原v5零件计数移植；新布板新增保护网路另计</x:v>
      </x:c>
      <x:c r="H27" s="10"/>
      <x:c r="I27" s="10" t="str">
        <x:v>3V3 ONLY if GPIO; other domains require review</x:v>
      </x:c>
      <x:c r="J27" s="10" t="str">
        <x:v>NOT_VERIFIED</x:v>
      </x:c>
      <x:c r="K27" s="10" t="str">
        <x:v>Public source only; pin1/EP/native footprint UNVERIFIED</x:v>
      </x:c>
      <x:c r="L27" s="10" t="str">
        <x:v>https://github.com/loverlike1216/SonoField-FPGA/blob/main/v5/hardware/bom/BOM_MASTER.csv</x:v>
      </x:c>
      <x:c r="M27" s="10" t="str">
        <x:v>AUTHORIZED_VENDOR_NOT_SELECTED</x:v>
      </x:c>
      <x:c r="N27" s="10" t="str">
        <x:v>NOT_APPROVED_FOR_PROCUREMENT</x:v>
      </x:c>
      <x:c r="O27" s="10" t="str">
        <x:v>Inherited candidate quantity; netlist/thermal review pending</x:v>
      </x:c>
      <x:c r="P27" s="10" t="str">
        <x:v>UNKNOWN; vendor evidence required</x:v>
      </x:c>
    </x:row>
    <x:row r="28" ht="52" customHeight="1">
      <x:c r="A28" s="10" t="str">
        <x:v>B-060</x:v>
      </x:c>
      <x:c r="B28" s="10" t="str">
        <x:v>10Ω 1%</x:v>
      </x:c>
      <x:c r="C28" s="10" t="str">
        <x:v>0603</x:v>
      </x:c>
      <x:c r="D28" s="11" t="n">
        <x:v>2</x:v>
      </x:c>
      <x:c r="E28" s="12" t="n">
        <x:v>0.1</x:v>
      </x:c>
      <x:c r="F28" s="11" t="n">
        <x:f>ROUNDUP(D28*(1+E28),0)</x:f>
        <x:v>3</x:v>
      </x:c>
      <x:c r="G28" s="10" t="str">
        <x:v>按原v5零件计数移植；新布板新增保护网路另计</x:v>
      </x:c>
      <x:c r="H28" s="10"/>
      <x:c r="I28" s="10" t="str">
        <x:v>3V3 ONLY if GPIO; other domains require review</x:v>
      </x:c>
      <x:c r="J28" s="10" t="str">
        <x:v>NOT_VERIFIED</x:v>
      </x:c>
      <x:c r="K28" s="10" t="str">
        <x:v>Public source only; pin1/EP/native footprint UNVERIFIED</x:v>
      </x:c>
      <x:c r="L28" s="10" t="str">
        <x:v>https://github.com/loverlike1216/SonoField-FPGA/blob/main/v5/hardware/bom/BOM_MASTER.csv</x:v>
      </x:c>
      <x:c r="M28" s="10" t="str">
        <x:v>AUTHORIZED_VENDOR_NOT_SELECTED</x:v>
      </x:c>
      <x:c r="N28" s="10" t="str">
        <x:v>NOT_APPROVED_FOR_PROCUREMENT</x:v>
      </x:c>
      <x:c r="O28" s="10" t="str">
        <x:v>Inherited candidate quantity; netlist/thermal review pending</x:v>
      </x:c>
      <x:c r="P28" s="10" t="str">
        <x:v>UNKNOWN; vendor evidence required</x:v>
      </x:c>
    </x:row>
    <x:row r="29" ht="52" customHeight="1">
      <x:c r="A29" s="10" t="str">
        <x:v>B-062</x:v>
      </x:c>
      <x:c r="B29" s="10" t="str">
        <x:v>1.65kΩ 1%</x:v>
      </x:c>
      <x:c r="C29" s="10" t="str">
        <x:v>0603</x:v>
      </x:c>
      <x:c r="D29" s="11" t="n">
        <x:v>1</x:v>
      </x:c>
      <x:c r="E29" s="12" t="n">
        <x:v>0.1</x:v>
      </x:c>
      <x:c r="F29" s="11" t="n">
        <x:f>ROUNDUP(D29*(1+E29),0)</x:f>
        <x:v>2</x:v>
      </x:c>
      <x:c r="G29" s="10" t="str">
        <x:v>1.65kΩ→约2.02A标称；不是5.5A</x:v>
      </x:c>
      <x:c r="H29" s="10"/>
      <x:c r="I29" s="10" t="str">
        <x:v>3V3 ONLY if GPIO; other domains require review</x:v>
      </x:c>
      <x:c r="J29" s="10" t="str">
        <x:v>NOT_VERIFIED</x:v>
      </x:c>
      <x:c r="K29" s="10" t="str">
        <x:v>Public source only; pin1/EP/native footprint UNVERIFIED</x:v>
      </x:c>
      <x:c r="L29" s="10" t="str">
        <x:v>https://github.com/loverlike1216/SonoField-FPGA/blob/main/v5/hardware/bom/BOM_MASTER.csv</x:v>
      </x:c>
      <x:c r="M29" s="10" t="str">
        <x:v>AUTHORIZED_VENDOR_NOT_SELECTED</x:v>
      </x:c>
      <x:c r="N29" s="10" t="str">
        <x:v>NOT_APPROVED_FOR_PROCUREMENT</x:v>
      </x:c>
      <x:c r="O29" s="10" t="str">
        <x:v>Inherited candidate quantity; netlist/thermal review pending</x:v>
      </x:c>
      <x:c r="P29" s="10" t="str">
        <x:v>UNKNOWN; vendor evidence required</x:v>
      </x:c>
    </x:row>
    <x:row r="30" ht="52" customHeight="1">
      <x:c r="A30" s="10" t="str">
        <x:v>B-063</x:v>
      </x:c>
      <x:c r="B30" s="10" t="str">
        <x:v>1.37MΩ 1%</x:v>
      </x:c>
      <x:c r="C30" s="10" t="str">
        <x:v>0603</x:v>
      </x:c>
      <x:c r="D30" s="11" t="n">
        <x:v>1</x:v>
      </x:c>
      <x:c r="E30" s="12" t="n">
        <x:v>0.1</x:v>
      </x:c>
      <x:c r="F30" s="11" t="n">
        <x:f>ROUNDUP(D30*(1+E30),0)</x:f>
        <x:v>2</x:v>
      </x:c>
      <x:c r="G30" s="10" t="str">
        <x:v>按原v5零件计数移植；新布板新增保护网路另计</x:v>
      </x:c>
      <x:c r="H30" s="10"/>
      <x:c r="I30" s="10" t="str">
        <x:v>3V3 ONLY if GPIO; other domains require review</x:v>
      </x:c>
      <x:c r="J30" s="10" t="str">
        <x:v>NOT_VERIFIED</x:v>
      </x:c>
      <x:c r="K30" s="10" t="str">
        <x:v>Public source only; pin1/EP/native footprint UNVERIFIED</x:v>
      </x:c>
      <x:c r="L30" s="10" t="str">
        <x:v>https://github.com/loverlike1216/SonoField-FPGA/blob/main/v5/hardware/bom/BOM_MASTER.csv</x:v>
      </x:c>
      <x:c r="M30" s="10" t="str">
        <x:v>AUTHORIZED_VENDOR_NOT_SELECTED</x:v>
      </x:c>
      <x:c r="N30" s="10" t="str">
        <x:v>NOT_APPROVED_FOR_PROCUREMENT</x:v>
      </x:c>
      <x:c r="O30" s="10" t="str">
        <x:v>Inherited candidate quantity; netlist/thermal review pending</x:v>
      </x:c>
      <x:c r="P30" s="10" t="str">
        <x:v>UNKNOWN; vendor evidence required</x:v>
      </x:c>
    </x:row>
    <x:row r="31" ht="52" customHeight="1">
      <x:c r="A31" s="10" t="str">
        <x:v>B-064</x:v>
      </x:c>
      <x:c r="B31" s="10" t="str">
        <x:v>590kΩ 1%</x:v>
      </x:c>
      <x:c r="C31" s="10" t="str">
        <x:v>0603</x:v>
      </x:c>
      <x:c r="D31" s="11" t="n">
        <x:v>1</x:v>
      </x:c>
      <x:c r="E31" s="12" t="n">
        <x:v>0.1</x:v>
      </x:c>
      <x:c r="F31" s="11" t="n">
        <x:f>ROUNDUP(D31*(1+E31),0)</x:f>
        <x:v>2</x:v>
      </x:c>
      <x:c r="G31" s="10" t="str">
        <x:v>按原v5零件计数移植；新布板新增保护网路另计</x:v>
      </x:c>
      <x:c r="H31" s="10"/>
      <x:c r="I31" s="10" t="str">
        <x:v>3V3 ONLY if GPIO; other domains require review</x:v>
      </x:c>
      <x:c r="J31" s="10" t="str">
        <x:v>NOT_VERIFIED</x:v>
      </x:c>
      <x:c r="K31" s="10" t="str">
        <x:v>Public source only; pin1/EP/native footprint UNVERIFIED</x:v>
      </x:c>
      <x:c r="L31" s="10" t="str">
        <x:v>https://github.com/loverlike1216/SonoField-FPGA/blob/main/v5/hardware/bom/BOM_MASTER.csv</x:v>
      </x:c>
      <x:c r="M31" s="10" t="str">
        <x:v>AUTHORIZED_VENDOR_NOT_SELECTED</x:v>
      </x:c>
      <x:c r="N31" s="10" t="str">
        <x:v>NOT_APPROVED_FOR_PROCUREMENT</x:v>
      </x:c>
      <x:c r="O31" s="10" t="str">
        <x:v>Inherited candidate quantity; netlist/thermal review pending</x:v>
      </x:c>
      <x:c r="P31" s="10" t="str">
        <x:v>UNKNOWN; vendor evidence required</x:v>
      </x:c>
    </x:row>
    <x:row r="32" ht="52" customHeight="1">
      <x:c r="A32" s="10" t="str">
        <x:v>B-070</x:v>
      </x:c>
      <x:c r="B32" s="10" t="str">
        <x:v>100×80mm 4L候选</x:v>
      </x:c>
      <x:c r="C32" s="10" t="str">
        <x:v>PCB</x:v>
      </x:c>
      <x:c r="D32" s="11" t="n">
        <x:v>1</x:v>
      </x:c>
      <x:c r="E32" s="12" t="n">
        <x:v>0.1</x:v>
      </x:c>
      <x:c r="F32" s="11" t="n">
        <x:f>ROUNDUP(D32*(1+E32),0)</x:f>
        <x:v>2</x:v>
      </x:c>
      <x:c r="G32" s="10" t="str">
        <x:v>尺寸随对接连接器/J10-J11位置确定</x:v>
      </x:c>
      <x:c r="H32" s="10"/>
      <x:c r="I32" s="10" t="str">
        <x:v>3V3 ONLY if GPIO; other domains require review</x:v>
      </x:c>
      <x:c r="J32" s="10" t="str">
        <x:v>NOT_VERIFIED</x:v>
      </x:c>
      <x:c r="K32" s="10" t="str">
        <x:v>Public source only; pin1/EP/native footprint UNVERIFIED</x:v>
      </x:c>
      <x:c r="L32" s="10" t="str">
        <x:v>https://jlcpcb.com</x:v>
      </x:c>
      <x:c r="M32" s="10" t="str">
        <x:v>AUTHORIZED_VENDOR_NOT_SELECTED</x:v>
      </x:c>
      <x:c r="N32" s="10" t="str">
        <x:v>NOT_APPROVED_FOR_PROCUREMENT</x:v>
      </x:c>
      <x:c r="O32" s="10" t="str">
        <x:v>Inherited candidate quantity; netlist/thermal review pending</x:v>
      </x:c>
      <x:c r="P32" s="10" t="str">
        <x:v>UNKNOWN; vendor evidence required</x:v>
      </x:c>
    </x:row>
    <x:row r="33" ht="52" customHeight="1">
      <x:c r="A33" s="10" t="str">
        <x:v>PC-001</x:v>
      </x:c>
      <x:c r="B33" s="10" t="str">
        <x:v>TCA4307DGKR</x:v>
      </x:c>
      <x:c r="C33" s="10" t="str">
        <x:v>VSSOP-8</x:v>
      </x:c>
      <x:c r="D33" s="11" t="n">
        <x:v>2</x:v>
      </x:c>
      <x:c r="E33" s="12" t="n">
        <x:v>0.1</x:v>
      </x:c>
      <x:c r="F33" s="11" t="n">
        <x:f>ROUNDUP(D33*(1+E33),0)</x:f>
        <x:v>3</x:v>
      </x:c>
      <x:c r="G33" s="10" t="str">
        <x:v>CANDIDATE_REVIEW_REQUIRED</x:v>
      </x:c>
      <x:c r="H33" s="10"/>
      <x:c r="I33" s="10" t="str">
        <x:v>OPEN_DRAIN_3V3</x:v>
      </x:c>
      <x:c r="J33" s="10" t="str">
        <x:v>NOT_VERIFIED</x:v>
      </x:c>
      <x:c r="K33" s="10" t="str">
        <x:v>Native pin1/EP not verified</x:v>
      </x:c>
      <x:c r="L33" s="10" t="str">
        <x:v>https://www.ti.com/product/TCA4307</x:v>
      </x:c>
      <x:c r="M33" s="10" t="str">
        <x:v>NOT_SELECTED</x:v>
      </x:c>
      <x:c r="N33" s="10" t="str">
        <x:v>NOT_APPROVED_FOR_PROCUREMENT</x:v>
      </x:c>
      <x:c r="O33" s="10" t="str">
        <x:v>Electrical/thermal qualification HOLD</x:v>
      </x:c>
      <x:c r="P33" s="10" t="str">
        <x:v>Texas Instruments</x:v>
      </x:c>
    </x:row>
    <x:row r="34" ht="52" customHeight="1">
      <x:c r="A34" s="10" t="str">
        <x:v>PC-003</x:v>
      </x:c>
      <x:c r="B34" s="10" t="str">
        <x:v>PART_SELECTION_HOLD</x:v>
      </x:c>
      <x:c r="C34" s="10" t="str">
        <x:v>HOLD</x:v>
      </x:c>
      <x:c r="D34" s="11" t="n">
        <x:v>2</x:v>
      </x:c>
      <x:c r="E34" s="12" t="n">
        <x:v>0.1</x:v>
      </x:c>
      <x:c r="F34" s="11" t="n">
        <x:f>ROUNDUP(D34*(1+E34),0)</x:f>
        <x:v>3</x:v>
      </x:c>
      <x:c r="G34" s="10" t="str">
        <x:v>CANDIDATE_REVIEW_REQUIRED</x:v>
      </x:c>
      <x:c r="H34" s="10"/>
      <x:c r="I34" s="10" t="str">
        <x:v>ELECTRICAL_REVIEW_REQUIRED</x:v>
      </x:c>
      <x:c r="J34" s="10" t="str">
        <x:v>NOT_VERIFIED</x:v>
      </x:c>
      <x:c r="K34" s="10" t="str">
        <x:v>Native pin1/EP not verified</x:v>
      </x:c>
      <x:c r="L34" s="10" t="str">
        <x:v>USER_AX7020_POWER_ONLY_REQUIREMENT</x:v>
      </x:c>
      <x:c r="M34" s="10" t="str">
        <x:v>NOT_SELECTED</x:v>
      </x:c>
      <x:c r="N34" s="10" t="str">
        <x:v>NOT_APPROVED_FOR_PROCUREMENT</x:v>
      </x:c>
      <x:c r="O34" s="10" t="str">
        <x:v>Electrical/thermal qualification HOLD</x:v>
      </x:c>
      <x:c r="P34" s="10" t="str">
        <x:v>UNKNOWN; vendor evidence required</x:v>
      </x:c>
    </x:row>
  </x:sheetData>
  <x:conditionalFormatting sqref="J5:J34">
    <x:cfRule type="containsText" dxfId="2" priority="1" operator="containsText" text="NOT_VERIFIED"/>
  </x:conditionalFormatting>
  <x:pageMargins left="0.7" right="0.7" top="0.75" bottom="0.75" header="0.3" footer="0.3"/>
  <x:tableParts count="1">
    <x:tablePart xmlns:r="http://schemas.openxmlformats.org/officeDocument/2006/relationships" r:id="R243b4ae9a60f4700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2" hidden="0" customWidth="1"/>
    <x:col min="2" max="2" width="35" hidden="0" customWidth="1"/>
    <x:col min="3" max="3" width="20" hidden="0" customWidth="1"/>
    <x:col min="4" max="4" width="12" hidden="0" customWidth="1"/>
    <x:col min="5" max="5" width="12" hidden="0" customWidth="1"/>
    <x:col min="6" max="6" width="14" hidden="0" customWidth="1"/>
    <x:col min="7" max="7" width="50" hidden="0" customWidth="1"/>
    <x:col min="8" max="8" width="14" hidden="0" customWidth="1"/>
    <x:col min="9" max="9" width="35" hidden="0" customWidth="1"/>
    <x:col min="10" max="10" width="18" hidden="0" customWidth="1"/>
    <x:col min="11" max="11" width="38" hidden="0" customWidth="1"/>
    <x:col min="12" max="12" width="55" hidden="0" customWidth="1"/>
    <x:col min="13" max="13" width="32" hidden="0" customWidth="1"/>
    <x:col min="14" max="14" width="38" hidden="0" customWidth="1"/>
    <x:col min="15" max="15" width="70" hidden="0" customWidth="1"/>
    <x:col min="16" max="16" width="38" hidden="0" customWidth="1"/>
  </x:cols>
  <x:sheetData>
    <x:row r="2">
      <x:c r="A2" s="6" t="str">
        <x:v>External candidate assembly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</x:row>
    <x:row r="3">
      <x:c r="A3" s="3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  <x:c r="P3" s="3"/>
    </x:row>
    <x:row r="4" ht="34" customHeight="1">
      <x:c r="A4" s="9" t="str">
        <x:v>ID</x:v>
      </x:c>
      <x:c r="B4" s="9" t="str">
        <x:v>Part / MPN</x:v>
      </x:c>
      <x:c r="C4" s="9" t="str">
        <x:v>Package</x:v>
      </x:c>
      <x:c r="D4" s="9" t="str">
        <x:v>Installed qty</x:v>
      </x:c>
      <x:c r="E4" s="9" t="str">
        <x:v>Suggested spare %</x:v>
      </x:c>
      <x:c r="F4" s="9" t="str">
        <x:v>Procurement qty</x:v>
      </x:c>
      <x:c r="G4" s="9" t="str">
        <x:v>Supply / rating</x:v>
      </x:c>
      <x:c r="H4" s="9" t="str">
        <x:v>Max current A</x:v>
      </x:c>
      <x:c r="I4" s="9" t="str">
        <x:v>IO domain</x:v>
      </x:c>
      <x:c r="J4" s="9" t="str">
        <x:v>Measured</x:v>
      </x:c>
      <x:c r="K4" s="9" t="str">
        <x:v>Package verification</x:v>
      </x:c>
      <x:c r="L4" s="9" t="str">
        <x:v>Source URL</x:v>
      </x:c>
      <x:c r="M4" s="9" t="str">
        <x:v>Supplier</x:v>
      </x:c>
      <x:c r="N4" s="9" t="str">
        <x:v>Approval</x:v>
      </x:c>
      <x:c r="O4" s="9" t="str">
        <x:v>Risk / required action</x:v>
      </x:c>
      <x:c r="P4" s="9" t="str">
        <x:v>Manufacturer</x:v>
      </x:c>
    </x:row>
    <x:row r="5" ht="52" customHeight="1">
      <x:c r="A5" s="10" t="str">
        <x:v>B-039</x:v>
      </x:c>
      <x:c r="B5" s="10" t="str">
        <x:v>XT30 2P线束 18AWG（线径TBD）</x:v>
      </x:c>
      <x:c r="C5" s="10" t="str">
        <x:v>外置</x:v>
      </x:c>
      <x:c r="D5" s="11" t="n">
        <x:v>2</x:v>
      </x:c>
      <x:c r="E5" s="12" t="n">
        <x:v>0.1</x:v>
      </x:c>
      <x:c r="F5" s="11" t="n">
        <x:f>ROUNDUP(D5*(1+E5),0)</x:f>
        <x:v>3</x:v>
      </x:c>
      <x:c r="G5" s="10" t="str">
        <x:v>各板单独从外置供电装置接线</x:v>
      </x:c>
      <x:c r="H5" s="10"/>
      <x:c r="I5" s="10" t="str">
        <x:v>3V3 ONLY if GPIO; other domains require review</x:v>
      </x:c>
      <x:c r="J5" s="10" t="str">
        <x:v>NOT_VERIFIED</x:v>
      </x:c>
      <x:c r="K5" s="10" t="str">
        <x:v>Public source only; pin1/EP/native footprint UNVERIFIED</x:v>
      </x:c>
      <x:c r="L5" s="10" t="str">
        <x:v>https://www.lcsc.com/custom-cable-assembly</x:v>
      </x:c>
      <x:c r="M5" s="10" t="str">
        <x:v>AUTHORIZED_VENDOR_NOT_SELECTED</x:v>
      </x:c>
      <x:c r="N5" s="10" t="str">
        <x:v>NOT_APPROVED_FOR_PROCUREMENT</x:v>
      </x:c>
      <x:c r="O5" s="10" t="str">
        <x:v>Inherited candidate quantity; netlist/thermal review pending</x:v>
      </x:c>
      <x:c r="P5" s="10" t="str">
        <x:v>UNKNOWN; vendor evidence required</x:v>
      </x:c>
    </x:row>
    <x:row r="6" ht="52" customHeight="1">
      <x:c r="A6" s="10" t="str">
        <x:v>B-041</x:v>
      </x:c>
      <x:c r="B6" s="10" t="str">
        <x:v>50芯IDC定长≤20cm仅初选</x:v>
      </x:c>
      <x:c r="C6" s="10" t="str">
        <x:v>线束</x:v>
      </x:c>
      <x:c r="D6" s="11" t="n">
        <x:v>2</x:v>
      </x:c>
      <x:c r="E6" s="12" t="n">
        <x:v>0.1</x:v>
      </x:c>
      <x:c r="F6" s="11" t="n">
        <x:f>ROUNDUP(D6*(1+E6),0)</x:f>
        <x:v>3</x:v>
      </x:c>
      <x:c r="G6" s="10" t="str">
        <x:v>每阵列1条；需屏蔽/回流/时序验证</x:v>
      </x:c>
      <x:c r="H6" s="10"/>
      <x:c r="I6" s="10" t="str">
        <x:v>3V3 ONLY if GPIO; other domains require review</x:v>
      </x:c>
      <x:c r="J6" s="10" t="str">
        <x:v>NOT_VERIFIED</x:v>
      </x:c>
      <x:c r="K6" s="10" t="str">
        <x:v>Public source only; pin1/EP/native footprint UNVERIFIED</x:v>
      </x:c>
      <x:c r="L6" s="10" t="str">
        <x:v>https://www.lcsc.com/custom-cable-assembly</x:v>
      </x:c>
      <x:c r="M6" s="10" t="str">
        <x:v>AUTHORIZED_VENDOR_NOT_SELECTED</x:v>
      </x:c>
      <x:c r="N6" s="10" t="str">
        <x:v>NOT_APPROVED_FOR_PROCUREMENT</x:v>
      </x:c>
      <x:c r="O6" s="10" t="str">
        <x:v>Inherited candidate quantity; netlist/thermal review pending</x:v>
      </x:c>
      <x:c r="P6" s="10" t="str">
        <x:v>UNKNOWN; vendor evidence required</x:v>
      </x:c>
    </x:row>
    <x:row r="7" ht="52" customHeight="1">
      <x:c r="A7" s="10" t="str">
        <x:v>B-042</x:v>
      </x:c>
      <x:c r="B7" s="10" t="str">
        <x:v>屏蔽4对模拟线（独立专用）</x:v>
      </x:c>
      <x:c r="C7" s="10" t="str">
        <x:v>线束</x:v>
      </x:c>
      <x:c r="D7" s="11" t="n">
        <x:v>2</x:v>
      </x:c>
      <x:c r="E7" s="12" t="n">
        <x:v>0.1</x:v>
      </x:c>
      <x:c r="F7" s="11" t="n">
        <x:f>ROUNDUP(D7*(1+E7),0)</x:f>
        <x:v>3</x:v>
      </x:c>
      <x:c r="G7" s="10" t="str">
        <x:v>每阵列1条；建议远离TX与功率</x:v>
      </x:c>
      <x:c r="H7" s="10"/>
      <x:c r="I7" s="10" t="str">
        <x:v>3V3 ONLY if GPIO; other domains require review</x:v>
      </x:c>
      <x:c r="J7" s="10" t="str">
        <x:v>NOT_VERIFIED</x:v>
      </x:c>
      <x:c r="K7" s="10" t="str">
        <x:v>Public source only; pin1/EP/native footprint UNVERIFIED</x:v>
      </x:c>
      <x:c r="L7" s="10" t="str">
        <x:v>https://www.lcsc.com/custom-cable-assembly</x:v>
      </x:c>
      <x:c r="M7" s="10" t="str">
        <x:v>AUTHORIZED_VENDOR_NOT_SELECTED</x:v>
      </x:c>
      <x:c r="N7" s="10" t="str">
        <x:v>NOT_APPROVED_FOR_PROCUREMENT</x:v>
      </x:c>
      <x:c r="O7" s="10" t="str">
        <x:v>Inherited candidate quantity; netlist/thermal review pending</x:v>
      </x:c>
      <x:c r="P7" s="10" t="str">
        <x:v>UNKNOWN; vendor evidence required</x:v>
      </x:c>
    </x:row>
    <x:row r="8" ht="52" customHeight="1">
      <x:c r="A8" s="10" t="str">
        <x:v>B-043</x:v>
      </x:c>
      <x:c r="B8" s="10" t="str">
        <x:v>J10/J11对应双40针连接（实板决定）</x:v>
      </x:c>
      <x:c r="C8" s="10" t="str">
        <x:v>线束</x:v>
      </x:c>
      <x:c r="D8" s="11" t="n">
        <x:v>2</x:v>
      </x:c>
      <x:c r="E8" s="12" t="n">
        <x:v>0.1</x:v>
      </x:c>
      <x:c r="F8" s="11" t="n">
        <x:f>ROUNDUP(D8*(1+E8),0)</x:f>
        <x:v>3</x:v>
      </x:c>
      <x:c r="G8" s="10" t="str">
        <x:v>连通PS/PL，无功率路径</x:v>
      </x:c>
      <x:c r="H8" s="10"/>
      <x:c r="I8" s="10" t="str">
        <x:v>3V3 ONLY if GPIO; other domains require review</x:v>
      </x:c>
      <x:c r="J8" s="10" t="str">
        <x:v>NOT_VERIFIED</x:v>
      </x:c>
      <x:c r="K8" s="10" t="str">
        <x:v>Public source only; pin1/EP/native footprint UNVERIFIED</x:v>
      </x:c>
      <x:c r="L8" s="10" t="str">
        <x:v>https://www.alinx.com/public/upload/file/AX7020_UG.pdf</x:v>
      </x:c>
      <x:c r="M8" s="10" t="str">
        <x:v>AUTHORIZED_VENDOR_NOT_SELECTED</x:v>
      </x:c>
      <x:c r="N8" s="10" t="str">
        <x:v>NOT_APPROVED_FOR_PROCUREMENT</x:v>
      </x:c>
      <x:c r="O8" s="10" t="str">
        <x:v>Inherited candidate quantity; netlist/thermal review pending</x:v>
      </x:c>
      <x:c r="P8" s="10" t="str">
        <x:v>UNKNOWN; vendor evidence required</x:v>
      </x:c>
    </x:row>
    <x:row r="9" ht="52" customHeight="1">
      <x:c r="A9" s="10" t="str">
        <x:v>B-044</x:v>
      </x:c>
      <x:c r="B9" s="10" t="str">
        <x:v>12V 5A supply candidate (each)</x:v>
      </x:c>
      <x:c r="C9" s="10" t="str">
        <x:v>设备</x:v>
      </x:c>
      <x:c r="D9" s="11" t="n">
        <x:v>2</x:v>
      </x:c>
      <x:c r="E9" s="12" t="n">
        <x:v>0.1</x:v>
      </x:c>
      <x:c r="F9" s="11" t="n">
        <x:f>ROUNDUP(D9*(1+E9),0)</x:f>
        <x:v>3</x:v>
      </x:c>
      <x:c r="G9" s="10" t="str">
        <x:v>两个阵列独立可断电、可调限流</x:v>
      </x:c>
      <x:c r="H9" s="10"/>
      <x:c r="I9" s="10" t="str">
        <x:v>3V3 ONLY if GPIO; other domains require review</x:v>
      </x:c>
      <x:c r="J9" s="10" t="str">
        <x:v>NOT_VERIFIED</x:v>
      </x:c>
      <x:c r="K9" s="10" t="str">
        <x:v>Public source only; pin1/EP/native footprint UNVERIFIED</x:v>
      </x:c>
      <x:c r="L9" s="10" t="str">
        <x:v>https://www.meanwell.com/webapp/product/search.aspx?prod=GST120A</x:v>
      </x:c>
      <x:c r="M9" s="10" t="str">
        <x:v>AUTHORIZED_VENDOR_NOT_SELECTED</x:v>
      </x:c>
      <x:c r="N9" s="10" t="str">
        <x:v>NOT_APPROVED_FOR_PROCUREMENT</x:v>
      </x:c>
      <x:c r="O9" s="10" t="str">
        <x:v>Two independent60W-rated sources;2A protection baseline unchanged, not60W load authorization</x:v>
      </x:c>
      <x:c r="P9" s="10" t="str">
        <x:v>UNKNOWN; vendor evidence required</x:v>
      </x:c>
    </x:row>
    <x:row r="10" ht="52" customHeight="1">
      <x:c r="A10" s="10" t="str">
        <x:v>B-045</x:v>
      </x:c>
      <x:c r="B10" s="10" t="str">
        <x:v>ALINX规定DC 5V配件</x:v>
      </x:c>
      <x:c r="C10" s="10" t="str">
        <x:v>设备</x:v>
      </x:c>
      <x:c r="D10" s="11" t="n">
        <x:v>1</x:v>
      </x:c>
      <x:c r="E10" s="12" t="n">
        <x:v>0.1</x:v>
      </x:c>
      <x:c r="F10" s="11" t="n">
        <x:f>ROUNDUP(D10*(1+E10),0)</x:f>
        <x:v>2</x:v>
      </x:c>
      <x:c r="G10" s="10" t="str">
        <x:v>主控保持其原厂供电，外部阵列不占板载供电</x:v>
      </x:c>
      <x:c r="H10" s="10"/>
      <x:c r="I10" s="10" t="str">
        <x:v>3V3 ONLY if GPIO; other domains require review</x:v>
      </x:c>
      <x:c r="J10" s="10" t="str">
        <x:v>NOT_VERIFIED</x:v>
      </x:c>
      <x:c r="K10" s="10" t="str">
        <x:v>Public source only; pin1/EP/native footprint UNVERIFIED</x:v>
      </x:c>
      <x:c r="L10" s="10" t="str">
        <x:v>https://www.alinx.com/public/upload/file/AX7020_UG.pdf</x:v>
      </x:c>
      <x:c r="M10" s="10" t="str">
        <x:v>AUTHORIZED_VENDOR_NOT_SELECTED</x:v>
      </x:c>
      <x:c r="N10" s="10" t="str">
        <x:v>NOT_APPROVED_FOR_PROCUREMENT</x:v>
      </x:c>
      <x:c r="O10" s="10" t="str">
        <x:v>Inherited candidate quantity; netlist/thermal review pending</x:v>
      </x:c>
      <x:c r="P10" s="10" t="str">
        <x:v>UNKNOWN; vendor evidence required</x:v>
      </x:c>
    </x:row>
    <x:row r="11" ht="52" customHeight="1">
      <x:c r="A11" s="10" t="str">
        <x:v>B-072</x:v>
      </x:c>
      <x:c r="B11" s="10" t="str">
        <x:v>M3非磁性螺钉/尼龙柱/滑轨</x:v>
      </x:c>
      <x:c r="C11" s="10" t="str">
        <x:v>机械</x:v>
      </x:c>
      <x:c r="D11" s="11" t="n">
        <x:v>1</x:v>
      </x:c>
      <x:c r="E11" s="12" t="n">
        <x:v>0.1</x:v>
      </x:c>
      <x:c r="F11" s="11" t="n">
        <x:f>ROUNDUP(D11*(1+E11),0)</x:f>
        <x:v>2</x:v>
      </x:c>
      <x:c r="G11" s="10" t="str">
        <x:v>上下间距90-115mm可调，名义100mm</x:v>
      </x:c>
      <x:c r="H11" s="10"/>
      <x:c r="I11" s="10" t="str">
        <x:v>3V3 ONLY if GPIO; other domains require review</x:v>
      </x:c>
      <x:c r="J11" s="10" t="str">
        <x:v>NOT_VERIFIED</x:v>
      </x:c>
      <x:c r="K11" s="10" t="str">
        <x:v>Public source only; pin1/EP/native footprint UNVERIFIED</x:v>
      </x:c>
      <x:c r="L11" s="10" t="str">
        <x:v>https://github.com/loverlike1216/SonoField-FPGA/tree/main/v5</x:v>
      </x:c>
      <x:c r="M11" s="10" t="str">
        <x:v>AUTHORIZED_VENDOR_NOT_SELECTED</x:v>
      </x:c>
      <x:c r="N11" s="10" t="str">
        <x:v>NOT_APPROVED_FOR_PROCUREMENT</x:v>
      </x:c>
      <x:c r="O11" s="10" t="str">
        <x:v>Inherited candidate quantity; netlist/thermal review pending</x:v>
      </x:c>
      <x:c r="P11" s="10" t="str">
        <x:v>UNKNOWN; vendor evidence required</x:v>
      </x:c>
    </x:row>
    <x:row r="12" ht="52" customHeight="1">
      <x:c r="A12" s="10" t="str">
        <x:v>PC-004</x:v>
      </x:c>
      <x:c r="B12" s="10" t="str">
        <x:v>PART_SELECTION_HOLD</x:v>
      </x:c>
      <x:c r="C12" s="10" t="str">
        <x:v>HOLD</x:v>
      </x:c>
      <x:c r="D12" s="11" t="n">
        <x:v>1</x:v>
      </x:c>
      <x:c r="E12" s="12" t="n">
        <x:v>0.1</x:v>
      </x:c>
      <x:c r="F12" s="11" t="n">
        <x:f>ROUNDUP(D12*(1+E12),0)</x:f>
        <x:v>2</x:v>
      </x:c>
      <x:c r="G12" s="10" t="str">
        <x:v>CANDIDATE_REVIEW_REQUIRED</x:v>
      </x:c>
      <x:c r="H12" s="10"/>
      <x:c r="I12" s="10" t="str">
        <x:v>ELECTRICAL_REVIEW_REQUIRED</x:v>
      </x:c>
      <x:c r="J12" s="10" t="str">
        <x:v>NOT_VERIFIED</x:v>
      </x:c>
      <x:c r="K12" s="10" t="str">
        <x:v>Native pin1/EP not verified</x:v>
      </x:c>
      <x:c r="L12" s="10" t="str">
        <x:v>USER_SAFETY_REQUIREMENT</x:v>
      </x:c>
      <x:c r="M12" s="10" t="str">
        <x:v>NOT_SELECTED</x:v>
      </x:c>
      <x:c r="N12" s="10" t="str">
        <x:v>NOT_APPROVED_FOR_PROCUREMENT</x:v>
      </x:c>
      <x:c r="O12" s="10" t="str">
        <x:v>Electrical/thermal qualification HOLD</x:v>
      </x:c>
      <x:c r="P12" s="10" t="str">
        <x:v>UNKNOWN; vendor evidence required</x:v>
      </x:c>
    </x:row>
  </x:sheetData>
  <x:conditionalFormatting sqref="J5:J12">
    <x:cfRule type="containsText" dxfId="3" priority="1" operator="containsText" text="NOT_VERIFIED"/>
  </x:conditionalFormatting>
  <x:pageMargins left="0.7" right="0.7" top="0.75" bottom="0.75" header="0.3" footer="0.3"/>
  <x:tableParts count="1">
    <x:tablePart xmlns:r="http://schemas.openxmlformats.org/officeDocument/2006/relationships" r:id="R8b5dec637a68437b"/>
  </x:tableParts>
</x:worksheet>
</file>