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b3b9ca918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d899f0fda2f7484c"/>
    <x:sheet xmlns:r="http://schemas.openxmlformats.org/officeDocument/2006/relationships" name="Upper" sheetId="2" r:id="Rd390cc81793840b4"/>
    <x:sheet xmlns:r="http://schemas.openxmlformats.org/officeDocument/2006/relationships" name="Lower" sheetId="3" r:id="Rbd98c7edcd574134"/>
    <x:sheet xmlns:r="http://schemas.openxmlformats.org/officeDocument/2006/relationships" name="Central" sheetId="4" r:id="R7aa1ba16c5d04338"/>
    <x:sheet xmlns:r="http://schemas.openxmlformats.org/officeDocument/2006/relationships" name="External" sheetId="5" r:id="R48fc42d9e2b44fe9"/>
    <x:sheet xmlns:r="http://schemas.openxmlformats.org/officeDocument/2006/relationships" name="Source_References" sheetId="6" r:id="Rc22b943855684973"/>
    <x:sheet xmlns:r="http://schemas.openxmlformats.org/officeDocument/2006/relationships" name="Decisions" sheetId="7" r:id="Rb685660880b94c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  <x:font>
      <x:b/>
      <x:sz val="14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9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2d46819bca418c" /><Relationship Type="http://schemas.openxmlformats.org/officeDocument/2006/relationships/theme" Target="/xl/theme/theme1.xml" Id="R8aa019ee82224c14" /><Relationship Type="http://schemas.openxmlformats.org/officeDocument/2006/relationships/sharedStrings" Target="/xl/sharedStrings.xml" Id="R93c67d880aec4676" /><Relationship Type="http://schemas.openxmlformats.org/officeDocument/2006/relationships/worksheet" Target="/xl/worksheets/sheet1.xml" Id="Rd899f0fda2f7484c" /><Relationship Type="http://schemas.openxmlformats.org/officeDocument/2006/relationships/worksheet" Target="/xl/worksheets/sheet2.xml" Id="Rd390cc81793840b4" /><Relationship Type="http://schemas.openxmlformats.org/officeDocument/2006/relationships/worksheet" Target="/xl/worksheets/sheet3.xml" Id="Rbd98c7edcd574134" /><Relationship Type="http://schemas.openxmlformats.org/officeDocument/2006/relationships/worksheet" Target="/xl/worksheets/sheet4.xml" Id="R7aa1ba16c5d04338" /><Relationship Type="http://schemas.openxmlformats.org/officeDocument/2006/relationships/worksheet" Target="/xl/worksheets/sheet5.xml" Id="R48fc42d9e2b44fe9" /><Relationship Type="http://schemas.openxmlformats.org/officeDocument/2006/relationships/worksheet" Target="/xl/worksheets/sheet6.xml" Id="Rc22b943855684973" /><Relationship Type="http://schemas.openxmlformats.org/officeDocument/2006/relationships/worksheet" Target="/xl/worksheets/sheet7.xml" Id="Rb685660880b94c45" /></Relationships>
</file>

<file path=xl/tables/table1.xml><?xml version="1.0" encoding="utf-8"?>
<x:table xmlns:x="http://schemas.openxmlformats.org/spreadsheetml/2006/main" id="1" name="UpperParts" displayName="UpperParts" ref="A4:P60" headerRowCount="1" totalsRowCount="0" totalsRowShown="0">
  <x:tableColumns count="16">
    <x:tableColumn id="1" name="ID"/>
    <x:tableColumn id="2" name="MPN / family"/>
    <x:tableColumn id="3" name="Description"/>
    <x:tableColumn id="4" name="Package / pins"/>
    <x:tableColumn id="5" name="Installed"/>
    <x:tableColumn id="6" name="Spare fraction"/>
    <x:tableColumn id="7" name="Planned qty"/>
    <x:tableColumn id="8" name="References"/>
    <x:tableColumn id="9" name="Supply / rating"/>
    <x:tableColumn id="10" name="Current A (scope in risk)"/>
    <x:tableColumn id="11" name="Source"/>
    <x:tableColumn id="12" name="Supplier"/>
    <x:tableColumn id="13" name="Approval"/>
    <x:tableColumn id="14" name="Footprint verification"/>
    <x:tableColumn id="15" name="Price CNY"/>
    <x:tableColumn id="16" name="Alternative / required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werParts" displayName="LowerParts" ref="A4:P60" headerRowCount="1" totalsRowCount="0" totalsRowShown="0">
  <x:tableColumns count="16">
    <x:tableColumn id="1" name="ID"/>
    <x:tableColumn id="2" name="MPN / family"/>
    <x:tableColumn id="3" name="Description"/>
    <x:tableColumn id="4" name="Package / pins"/>
    <x:tableColumn id="5" name="Installed"/>
    <x:tableColumn id="6" name="Spare fraction"/>
    <x:tableColumn id="7" name="Planned qty"/>
    <x:tableColumn id="8" name="References"/>
    <x:tableColumn id="9" name="Supply / rating"/>
    <x:tableColumn id="10" name="Current A (scope in risk)"/>
    <x:tableColumn id="11" name="Source"/>
    <x:tableColumn id="12" name="Supplier"/>
    <x:tableColumn id="13" name="Approval"/>
    <x:tableColumn id="14" name="Footprint verification"/>
    <x:tableColumn id="15" name="Price CNY"/>
    <x:tableColumn id="16" name="Alternative / required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entralParts" displayName="CentralParts" ref="A4:P35" headerRowCount="1" totalsRowCount="0" totalsRowShown="0">
  <x:tableColumns count="16">
    <x:tableColumn id="1" name="ID"/>
    <x:tableColumn id="2" name="MPN / family"/>
    <x:tableColumn id="3" name="Description"/>
    <x:tableColumn id="4" name="Package / pins"/>
    <x:tableColumn id="5" name="Installed"/>
    <x:tableColumn id="6" name="Spare fraction"/>
    <x:tableColumn id="7" name="Planned qty"/>
    <x:tableColumn id="8" name="References"/>
    <x:tableColumn id="9" name="Supply / rating"/>
    <x:tableColumn id="10" name="Current A (scope in risk)"/>
    <x:tableColumn id="11" name="Source"/>
    <x:tableColumn id="12" name="Supplier"/>
    <x:tableColumn id="13" name="Approval"/>
    <x:tableColumn id="14" name="Footprint verification"/>
    <x:tableColumn id="15" name="Price CNY"/>
    <x:tableColumn id="16" name="Alternative / required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ternalParts" displayName="ExternalParts" ref="A4:P12" headerRowCount="1" totalsRowCount="0" totalsRowShown="0">
  <x:tableColumns count="16">
    <x:tableColumn id="1" name="ID"/>
    <x:tableColumn id="2" name="MPN / family"/>
    <x:tableColumn id="3" name="Description"/>
    <x:tableColumn id="4" name="Package / pins"/>
    <x:tableColumn id="5" name="Installed"/>
    <x:tableColumn id="6" name="Spare fraction"/>
    <x:tableColumn id="7" name="Planned qty"/>
    <x:tableColumn id="8" name="References"/>
    <x:tableColumn id="9" name="Supply / rating"/>
    <x:tableColumn id="10" name="Current A (scope in risk)"/>
    <x:tableColumn id="11" name="Source"/>
    <x:tableColumn id="12" name="Supplier"/>
    <x:tableColumn id="13" name="Approval"/>
    <x:tableColumn id="14" name="Footprint verification"/>
    <x:tableColumn id="15" name="Price CNY"/>
    <x:tableColumn id="16" name="Alternative / required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f50fb3e63a40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0162ef90ca43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c7fa8d17ef48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cb434f2de543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64" hidden="0" customWidth="1"/>
    <x:col min="3" max="3" width="20" hidden="0" customWidth="1"/>
    <x:col min="4" max="4" width="2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9" t="str">
        <x:v>SonoField v5 / AD7606C-16 working BOM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2" customHeight="1">
      <x:c r="A4" s="7" t="str">
        <x:v>Release</x:v>
      </x:c>
      <x:c r="B4" s="7" t="str">
        <x:v>HOLD - NOT FOR PROCUREMENT</x:v>
      </x:c>
      <x:c r="C4" s="7"/>
      <x:c r="D4" s="7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32" customHeight="1">
      <x:c r="A5" s="7" t="str">
        <x:v>ADC direction</x:v>
      </x:c>
      <x:c r="B5" s="7" t="str">
        <x:v>USER APPROVED C-16; electrical HOLD</x:v>
      </x:c>
      <x:c r="C5" s="7"/>
      <x:c r="D5" s="7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32" customHeight="1">
      <x:c r="A6" s="7" t="str">
        <x:v>TX / RX</x:v>
      </x:c>
      <x:c r="B6" s="7" t="str">
        <x:v>NU40C10T suffix pending / RX exact MPN HOLD</x:v>
      </x:c>
      <x:c r="C6" s="7"/>
      <x:c r="D6" s="7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32" customHeight="1">
      <x:c r="A7" s="7" t="str">
        <x:v>Temperature</x:v>
      </x:c>
      <x:c r="B7" s="7" t="str">
        <x:v>3 TMP117; optional SHT45 diagnostic</x:v>
      </x:c>
      <x:c r="C7" s="7"/>
      <x:c r="D7" s="7"/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32" customHeight="1">
      <x:c r="A8" s="7" t="str">
        <x:v>Array power</x:v>
      </x:c>
      <x:c r="B8" s="7" t="str">
        <x:v>Independent external12V per board</x:v>
      </x:c>
      <x:c r="C8" s="7"/>
      <x:c r="D8" s="7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 ht="32" customHeight="1">
      <x:c r="A9" s="7" t="str">
        <x:v>Central power</x:v>
      </x:c>
      <x:c r="B9" s="7" t="str">
        <x:v>AX7020 only; capacity UNKNOWN</x:v>
      </x:c>
      <x:c r="C9" s="7"/>
      <x:c r="D9" s="7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 ht="32" customHeight="1">
      <x:c r="A10" s="7" t="str">
        <x:v>Native schematic / ERC</x:v>
      </x:c>
      <x:c r="B10" s="7" t="str">
        <x:v>NOT_CREATED / NOT_RUN</x:v>
      </x:c>
      <x:c r="C10" s="7"/>
      <x:c r="D10" s="7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 ht="32" customHeight="1">
      <x:c r="A11" s="7" t="str">
        <x:v>Price currency</x:v>
      </x:c>
      <x:c r="B11" s="7" t="str">
        <x:v>CNY; all prices UNKNOWN</x:v>
      </x:c>
      <x:c r="C11" s="7"/>
      <x:c r="D11" s="7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 ht="32" customHeight="1">
      <x:c r="A12" s="7" t="str">
        <x:v>Provenance</x:v>
      </x:c>
      <x:c r="B12" s="7" t="str">
        <x:v>Unchanged pre-PCB baseline + current user decision</x:v>
      </x:c>
      <x:c r="C12" s="7"/>
      <x:c r="D12" s="7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 ht="32" customHeight="1">
      <x:c r="A13" s="7"/>
      <x:c r="B13" s="7"/>
      <x:c r="C13" s="7"/>
      <x:c r="D13" s="7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 ht="32" customHeight="1">
      <x:c r="A14" s="7"/>
      <x:c r="B14" s="7"/>
      <x:c r="C14" s="7"/>
      <x:c r="D14" s="7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 ht="34" customHeight="1">
      <x:c r="A15" s="8" t="str">
        <x:v>Assembly</x:v>
      </x:c>
      <x:c r="B15" s="8" t="str">
        <x:v>Part types</x:v>
      </x:c>
      <x:c r="C15" s="8" t="str">
        <x:v>Installed units</x:v>
      </x:c>
      <x:c r="D15" s="8" t="str">
        <x:v>Release</x:v>
      </x:c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 ht="32" customHeight="1">
      <x:c r="A16" s="7" t="str">
        <x:v>Upper</x:v>
      </x:c>
      <x:c r="B16" s="7" t="n">
        <x:v>56</x:v>
      </x:c>
      <x:c r="C16" s="7" t="n">
        <x:f>SUM('Upper'!E5:E60)</x:f>
        <x:v>488</x:v>
      </x:c>
      <x:c r="D16" s="7" t="str">
        <x:v>HOLD</x:v>
      </x:c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 ht="32" customHeight="1">
      <x:c r="A17" s="7" t="str">
        <x:v>Lower</x:v>
      </x:c>
      <x:c r="B17" s="7" t="n">
        <x:v>56</x:v>
      </x:c>
      <x:c r="C17" s="7" t="n">
        <x:f>SUM('Lower'!E5:E60)</x:f>
        <x:v>488</x:v>
      </x:c>
      <x:c r="D17" s="7" t="str">
        <x:v>HOLD</x:v>
      </x:c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 ht="32" customHeight="1">
      <x:c r="A18" s="7" t="str">
        <x:v>Central</x:v>
      </x:c>
      <x:c r="B18" s="7" t="n">
        <x:v>31</x:v>
      </x:c>
      <x:c r="C18" s="7" t="n">
        <x:f>SUM('Central'!E5:E35)</x:f>
        <x:v>83</x:v>
      </x:c>
      <x:c r="D18" s="7" t="str">
        <x:v>HOLD</x:v>
      </x:c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 ht="32" customHeight="1">
      <x:c r="A19" s="7" t="str">
        <x:v>External</x:v>
      </x:c>
      <x:c r="B19" s="7" t="n">
        <x:v>8</x:v>
      </x:c>
      <x:c r="C19" s="7" t="n">
        <x:f>SUM('External'!E5:E12)</x:f>
        <x:v>13</x:v>
      </x:c>
      <x:c r="D19" s="7" t="str">
        <x:v>HOLD</x:v>
      </x:c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 ht="32" customHeight="1">
      <x:c r="A20" s="7"/>
      <x:c r="B20" s="7"/>
      <x:c r="C20" s="7"/>
      <x:c r="D20" s="7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 ht="32" customHeight="1">
      <x:c r="A21" s="7"/>
      <x:c r="B21" s="7"/>
      <x:c r="C21" s="7"/>
      <x:c r="D21" s="7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 ht="34" customHeight="1">
      <x:c r="A22" s="8" t="str">
        <x:v>Ideal CV2f sensitivity ONLY</x:v>
      </x:c>
      <x:c r="B22" s="8" t="str">
        <x:v>C nF</x:v>
      </x:c>
      <x:c r="C22" s="8" t="str">
        <x:v>V swing</x:v>
      </x:c>
      <x:c r="D22" s="8" t="str">
        <x:v>f Hz</x:v>
      </x:c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 ht="32" customHeight="1">
      <x:c r="A23" s="7" t="str">
        <x:v>64TX, not measured / not upper bound</x:v>
      </x:c>
      <x:c r="B23" s="7" t="n">
        <x:v>2.2</x:v>
      </x:c>
      <x:c r="C23" s="7" t="n">
        <x:v>12</x:v>
      </x:c>
      <x:c r="D23" s="7" t="n">
        <x:v>40000</x:v>
      </x:c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 ht="32" customHeight="1">
      <x:c r="A24" s="7"/>
      <x:c r="B24" s="7"/>
      <x:c r="C24" s="7"/>
      <x:c r="D24" s="7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 ht="32" customHeight="1">
      <x:c r="A25" s="7" t="str">
        <x:v>Ideal charging power W</x:v>
      </x:c>
      <x:c r="B25" s="7" t="n">
        <x:f>64*B23*1E-9*C23^2*D23</x:f>
        <x:v>0.8110080000000001</x:v>
      </x:c>
      <x:c r="C25" s="7"/>
      <x:c r="D25" s="7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 ht="32" customHeight="1">
      <x:c r="A26" s="7"/>
      <x:c r="B26" s="7"/>
      <x:c r="C26" s="7"/>
      <x:c r="D26" s="7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 ht="32" customHeight="1">
      <x:c r="A27" s="7"/>
      <x:c r="B27" s="7"/>
      <x:c r="C27" s="7"/>
      <x:c r="D27" s="7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 ht="32" customHeight="1">
      <x:c r="A28" s="7" t="str">
        <x:v>5A source / 2A eFuse</x:v>
      </x:c>
      <x:c r="B28" s="7" t="str">
        <x:v>NOT interchangeable; selectivity / wiring HOLD</x:v>
      </x:c>
      <x:c r="C28" s="7"/>
      <x:c r="D28" s="7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 ht="32" customHeight="1">
      <x:c r="A29" s="7" t="str">
        <x:v>Continuous piezo load</x:v>
      </x:c>
      <x:c r="B29" s="7" t="str">
        <x:v>Resonance, driver loss, peak current UNKNOWN</x:v>
      </x:c>
      <x:c r="C29" s="7"/>
      <x:c r="D29" s="7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 ht="32" customHeight="1">
      <x:c r="A30" s="7" t="str">
        <x:v>Pin review</x:v>
      </x:c>
      <x:c r="B30" s="7" t="str">
        <x:v>DOUT E-H unconnected; all ADC64 pins in JSON</x:v>
      </x:c>
      <x:c r="C30" s="7"/>
      <x:c r="D30" s="7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40" hidden="0" customWidth="1"/>
    <x:col min="4" max="4" width="46" hidden="0" customWidth="1"/>
    <x:col min="5" max="5" width="11" hidden="0" customWidth="1"/>
    <x:col min="6" max="6" width="12" hidden="0" customWidth="1"/>
    <x:col min="7" max="7" width="12" hidden="0" customWidth="1"/>
    <x:col min="8" max="8" width="70" hidden="0" customWidth="1"/>
    <x:col min="9" max="9" width="48" hidden="0" customWidth="1"/>
    <x:col min="10" max="10" width="22" hidden="0" customWidth="1"/>
    <x:col min="11" max="11" width="58" hidden="0" customWidth="1"/>
    <x:col min="12" max="12" width="28" hidden="0" customWidth="1"/>
    <x:col min="13" max="13" width="48" hidden="0" customWidth="1"/>
    <x:col min="14" max="14" width="26" hidden="0" customWidth="1"/>
    <x:col min="15" max="15" width="16" hidden="0" customWidth="1"/>
    <x:col min="16" max="16" width="9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9" t="str">
        <x:v>Upper - PROPOSED WORKING; ELECTRICAL HOLD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8" customHeight="1">
      <x:c r="A4" s="8" t="str">
        <x:v>ID</x:v>
      </x:c>
      <x:c r="B4" s="8" t="str">
        <x:v>MPN / family</x:v>
      </x:c>
      <x:c r="C4" s="8" t="str">
        <x:v>Description</x:v>
      </x:c>
      <x:c r="D4" s="8" t="str">
        <x:v>Package / pins</x:v>
      </x:c>
      <x:c r="E4" s="8" t="str">
        <x:v>Installed</x:v>
      </x:c>
      <x:c r="F4" s="8" t="str">
        <x:v>Spare fraction</x:v>
      </x:c>
      <x:c r="G4" s="8" t="str">
        <x:v>Planned qty</x:v>
      </x:c>
      <x:c r="H4" s="8" t="str">
        <x:v>References</x:v>
      </x:c>
      <x:c r="I4" s="8" t="str">
        <x:v>Supply / rating</x:v>
      </x:c>
      <x:c r="J4" s="8" t="str">
        <x:v>Current A (scope in risk)</x:v>
      </x:c>
      <x:c r="K4" s="8" t="str">
        <x:v>Source</x:v>
      </x:c>
      <x:c r="L4" s="8" t="str">
        <x:v>Supplier</x:v>
      </x:c>
      <x:c r="M4" s="8" t="str">
        <x:v>Approval</x:v>
      </x:c>
      <x:c r="N4" s="8" t="str">
        <x:v>Footprint verification</x:v>
      </x:c>
      <x:c r="O4" s="8" t="str">
        <x:v>Price CNY</x:v>
      </x:c>
      <x:c r="P4" s="8" t="str">
        <x:v>Alternative / required evidence</x:v>
      </x:c>
    </x:row>
    <x:row r="5" ht="192" customHeight="1">
      <x:c r="A5" s="7" t="str">
        <x:v>B-001</x:v>
      </x:c>
      <x:c r="B5" s="7" t="str">
        <x:v>NU40C10T-2_ORDER_CODE_PENDING_VENDOR</x:v>
      </x:c>
      <x:c r="C5" s="7" t="str">
        <x:v>40kHz 超声发射换能器</x:v>
      </x:c>
      <x:c r="D5" s="7" t="str">
        <x:v>THT2; body9.8+/-0.5mm; pitch5.0+/-0.5mm; lead0.7+/-0.1mm; pins 2</x:v>
      </x:c>
      <x:c r="E5" s="7" t="n">
        <x:v>64</x:v>
      </x:c>
      <x:c r="F5" s="10" t="n">
        <x:v>0.1</x:v>
      </x:c>
      <x:c r="G5" s="7" t="n">
        <x:f>ROUNDUP(E5*(1+F5),0)</x:f>
        <x:v>71</x:v>
      </x:c>
      <x:c r="H5" s="7" t="str">
        <x:v>UP_B001_001, UP_B001_002, UP_B001_003, UP_B001_004, UP_B001_005, UP_B001_006, UP_B001_007, UP_B001_008, UP_B001_009, UP_B001_010, UP_B001_011, UP_B001_012, UP_B001_013, UP_B001_014, UP_B001_015, UP_B001_016, UP_B001_017, UP_B001_018, UP_B001_019, UP_B001_020, UP_B001_021, UP_B001_022, UP_B001_023, UP_B001_024, UP_B001_025, UP_B001_026, UP_B001_027, UP_B001_028, UP_B001_029, UP_B001_030, UP_B001_031, UP_B001_032, UP_B001_033, UP_B001_034, UP_B001_035, UP_B001_036, UP_B001_037, UP_B001_038, UP_B001_039, UP_B001_040, UP_B001_041, UP_B001_042, UP_B001_043, UP_B001_044, UP_B001_045, UP_B001_046, UP_B001_047, UP_B001_048, UP_B001_049, UP_B001_050, UP_B001_051, UP_B001_052, UP_B001_053, UP_B001_054, UP_B001_055, UP_B001_056, UP_B001_057, UP_B001_058, UP_B001_059, UP_B001_060, UP_B001_061, UP_B001_062, UP_B001_063, UP_B001_064</x:v>
      </x:c>
      <x:c r="I5" s="7" t="str">
        <x:v>用户锁定发射器型号；供应商完整 datasheet / 焊脚尺寸尚需核实</x:v>
      </x:c>
      <x:c r="J5" s="7" t="str">
        <x:v>UNKNOWN</x:v>
      </x:c>
      <x:c r="K5" s="7" t="str">
        <x:v>USER_VENDOR_IMAGES_HASHES_IN_VENDOR_PARAMETERS.json</x:v>
      </x:c>
      <x:c r="L5" s="7" t="str">
        <x:v>AUTHORIZED_VENDOR_NOT_SELECTED</x:v>
      </x:c>
      <x:c r="M5" s="7" t="str">
        <x:v>FAMILY_APPROVED_SUFFIX_HOLD</x:v>
      </x:c>
      <x:c r="N5" s="7" t="str">
        <x:v>UNVERIFIED</x:v>
      </x:c>
      <x:c r="O5" s="7" t="str">
        <x:v>UNKNOWN</x:v>
      </x:c>
      <x:c r="P5" s="7" t="str">
        <x:v>Inherited candidate quantity; netlist/thermal review pending</x:v>
      </x:c>
    </x:row>
    <x:row r="6" ht="76" customHeight="1">
      <x:c r="A6" s="7" t="str">
        <x:v>B-002</x:v>
      </x:c>
      <x:c r="B6" s="7" t="str">
        <x:v>NU40C10R-2_CANDIDATE_EXACT_RX_MPN_HOLD</x:v>
      </x:c>
      <x:c r="C6" s="7" t="str">
        <x:v>40kHz 超声接收换能器</x:v>
      </x:c>
      <x:c r="D6" s="7" t="str">
        <x:v>THT2_CANDIDATE_VERIFY_RX_MECHANICAL; pins 2</x:v>
      </x:c>
      <x:c r="E6" s="7" t="n">
        <x:v>4</x:v>
      </x:c>
      <x:c r="F6" s="10" t="n">
        <x:v>0.1</x:v>
      </x:c>
      <x:c r="G6" s="7" t="n">
        <x:f>ROUNDUP(E6*(1+F6),0)</x:f>
        <x:v>5</x:v>
      </x:c>
      <x:c r="H6" s="7" t="str">
        <x:v>UP_B002_001, UP_B002_002, UP_B002_003, UP_B002_004</x:v>
      </x:c>
      <x:c r="I6" s="7" t="str">
        <x:v>同频匹配接收器；不得擅自把TX当RX</x:v>
      </x:c>
      <x:c r="J6" s="7" t="str">
        <x:v>UNKNOWN</x:v>
      </x:c>
      <x:c r="K6" s="7" t="str">
        <x:v>https://github.com/loverlike1216/SonoField-FPGA/tree/main/v5</x:v>
      </x:c>
      <x:c r="L6" s="7" t="str">
        <x:v>AUTHORIZED_VENDOR_NOT_SELECTED</x:v>
      </x:c>
      <x:c r="M6" s="7" t="str">
        <x:v>PROPOSED_RX_HOLD</x:v>
      </x:c>
      <x:c r="N6" s="7" t="str">
        <x:v>UNVERIFIED</x:v>
      </x:c>
      <x:c r="O6" s="7" t="str">
        <x:v>UNKNOWN</x:v>
      </x:c>
      <x:c r="P6" s="7" t="str">
        <x:v>Inherited candidate quantity; netlist/thermal review pending</x:v>
      </x:c>
    </x:row>
    <x:row r="7" ht="96" customHeight="1">
      <x:c r="A7" s="7" t="str">
        <x:v>B-003</x:v>
      </x:c>
      <x:c r="B7" s="7" t="str">
        <x:v>TC4427AEOA713</x:v>
      </x:c>
      <x:c r="C7" s="7" t="str">
        <x:v>双通道功率驱动器</x:v>
      </x:c>
      <x:c r="D7" s="7" t="str">
        <x:v>SOIC-8; pins UNKNOWN</x:v>
      </x:c>
      <x:c r="E7" s="7" t="n">
        <x:v>32</x:v>
      </x:c>
      <x:c r="F7" s="10" t="n">
        <x:v>0.1</x:v>
      </x:c>
      <x:c r="G7" s="7" t="n">
        <x:f>ROUNDUP(E7*(1+F7),0)</x:f>
        <x:v>36</x:v>
      </x:c>
      <x:c r="H7" s="7" t="str">
        <x:v>UP_B003_001, UP_B003_002, UP_B003_003, UP_B003_004, UP_B003_005, UP_B003_006, UP_B003_007, UP_B003_008, UP_B003_009, UP_B003_010, UP_B003_011, UP_B003_012, UP_B003_013, UP_B003_014, UP_B003_015, UP_B003_016, UP_B003_017, UP_B003_018, UP_B003_019, UP_B003_020, UP_B003_021, UP_B003_022, UP_B003_023, UP_B003_024, UP_B003_025, UP_B003_026, UP_B003_027, UP_B003_028, UP_B003_029, UP_B003_030, UP_B003_031, UP_B003_032</x:v>
      </x:c>
      <x:c r="I7" s="7" t="str">
        <x:v>2输出/芯片；12V首轮限流调试，不是NU40C10T额定电压</x:v>
      </x:c>
      <x:c r="J7" s="7" t="str">
        <x:v>UNKNOWN</x:v>
      </x:c>
      <x:c r="K7" s="7" t="str">
        <x:v>https://www.microchip.com/en-us/product/TC4427A</x:v>
      </x:c>
      <x:c r="L7" s="7" t="str">
        <x:v>AUTHORIZED_VENDOR_NOT_SELECTED</x:v>
      </x:c>
      <x:c r="M7" s="7" t="str">
        <x:v>NOT_APPROVED_FOR_PROCUREMENT</x:v>
      </x:c>
      <x:c r="N7" s="7" t="str">
        <x:v>UNVERIFIED</x:v>
      </x:c>
      <x:c r="O7" s="7" t="str">
        <x:v>UNKNOWN</x:v>
      </x:c>
      <x:c r="P7" s="7" t="str">
        <x:v>Inherited candidate quantity; netlist/thermal review pending</x:v>
      </x:c>
    </x:row>
    <x:row r="8" ht="76" customHeight="1">
      <x:c r="A8" s="7" t="str">
        <x:v>B-004</x:v>
      </x:c>
      <x:c r="B8" s="7" t="str">
        <x:v>SN74LVC595APWR</x:v>
      </x:c>
      <x:c r="C8" s="7" t="str">
        <x:v>8位串入并出寄存器</x:v>
      </x:c>
      <x:c r="D8" s="7" t="str">
        <x:v>TSSOP-16; pins UNKNOWN</x:v>
      </x:c>
      <x:c r="E8" s="7" t="n">
        <x:v>16</x:v>
      </x:c>
      <x:c r="F8" s="10" t="n">
        <x:v>0.1</x:v>
      </x:c>
      <x:c r="G8" s="7" t="n">
        <x:f>ROUNDUP(E8*(1+F8),0)</x:f>
        <x:v>18</x:v>
      </x:c>
      <x:c r="H8" s="7" t="str">
        <x:v>UP_B004_001, UP_B004_002, UP_B004_003, UP_B004_004, UP_B004_005, UP_B004_006, UP_B004_007, UP_B004_008, UP_B004_009, UP_B004_010, UP_B004_011, UP_B004_012, UP_B004_013, UP_B004_014, UP_B004_015, UP_B004_016</x:v>
      </x:c>
      <x:c r="I8" s="7" t="str">
        <x:v>每片4个有效输出；每侧16条独立串行lane</x:v>
      </x:c>
      <x:c r="J8" s="7" t="str">
        <x:v>UNKNOWN</x:v>
      </x:c>
      <x:c r="K8" s="7" t="str">
        <x:v>https://www.ti.com/product/SN74LVC595A</x:v>
      </x:c>
      <x:c r="L8" s="7" t="str">
        <x:v>AUTHORIZED_VENDOR_NOT_SELECTED</x:v>
      </x:c>
      <x:c r="M8" s="7" t="str">
        <x:v>NOT_APPROVED_FOR_PROCUREMENT</x:v>
      </x:c>
      <x:c r="N8" s="7" t="str">
        <x:v>UNVERIFIED</x:v>
      </x:c>
      <x:c r="O8" s="7" t="str">
        <x:v>UNKNOWN</x:v>
      </x:c>
      <x:c r="P8" s="7" t="str">
        <x:v>Inherited candidate quantity; netlist/thermal review pending</x:v>
      </x:c>
    </x:row>
    <x:row r="9" ht="76" customHeight="1">
      <x:c r="A9" s="7" t="str">
        <x:v>B-005</x:v>
      </x:c>
      <x:c r="B9" s="7" t="str">
        <x:v>SN74AXC8T245PWR</x:v>
      </x:c>
      <x:c r="C9" s="7" t="str">
        <x:v>8位双电源电平转换</x:v>
      </x:c>
      <x:c r="D9" s="7" t="str">
        <x:v>TSSOP-24; pins UNKNOWN</x:v>
      </x:c>
      <x:c r="E9" s="7" t="n">
        <x:v>4</x:v>
      </x:c>
      <x:c r="F9" s="10" t="n">
        <x:v>0.1</x:v>
      </x:c>
      <x:c r="G9" s="7" t="n">
        <x:f>ROUNDUP(E9*(1+F9),0)</x:f>
        <x:v>5</x:v>
      </x:c>
      <x:c r="H9" s="7" t="str">
        <x:v>UP_B005_001, UP_B005_002, UP_B005_003, UP_B005_004</x:v>
      </x:c>
      <x:c r="I9" s="7" t="str">
        <x:v>VCCA/VCCB均不得大于3.6V；根据VCCO放置与计算数量</x:v>
      </x:c>
      <x:c r="J9" s="7" t="str">
        <x:v>UNKNOWN</x:v>
      </x:c>
      <x:c r="K9" s="7" t="str">
        <x:v>https://www.ti.com/product/SN74AXC8T245</x:v>
      </x:c>
      <x:c r="L9" s="7" t="str">
        <x:v>AUTHORIZED_VENDOR_NOT_SELECTED</x:v>
      </x:c>
      <x:c r="M9" s="7" t="str">
        <x:v>NOT_APPROVED_FOR_PROCUREMENT</x:v>
      </x:c>
      <x:c r="N9" s="7" t="str">
        <x:v>UNVERIFIED</x:v>
      </x:c>
      <x:c r="O9" s="7" t="str">
        <x:v>UNKNOWN</x:v>
      </x:c>
      <x:c r="P9" s="7" t="str">
        <x:v>Inherited candidate quantity; netlist/thermal review pending</x:v>
      </x:c>
    </x:row>
    <x:row r="10" ht="76" customHeight="1">
      <x:c r="A10" s="7" t="str">
        <x:v>B-006</x:v>
      </x:c>
      <x:c r="B10" s="7" t="str">
        <x:v>SN74LVC244APWR</x:v>
      </x:c>
      <x:c r="C10" s="7" t="str">
        <x:v>8路时钟缓冲器</x:v>
      </x:c>
      <x:c r="D10" s="7" t="str">
        <x:v>TSSOP-20; pins UNKNOWN</x:v>
      </x:c>
      <x:c r="E10" s="7" t="n">
        <x:v>1</x:v>
      </x:c>
      <x:c r="F10" s="10" t="n">
        <x:v>0.1</x:v>
      </x:c>
      <x:c r="G10" s="7" t="n">
        <x:f>ROUNDUP(E10*(1+F10),0)</x:f>
        <x:v>2</x:v>
      </x:c>
      <x:c r="H10" s="7" t="str">
        <x:v>UP_B006_001</x:v>
      </x:c>
      <x:c r="I10" s="7" t="str">
        <x:v>每阵列1颗；4路SRCLK+4路RCLK 需负载证明</x:v>
      </x:c>
      <x:c r="J10" s="7" t="str">
        <x:v>UNKNOWN</x:v>
      </x:c>
      <x:c r="K10" s="7" t="str">
        <x:v>https://www.ti.com/product/SN74LVC244A</x:v>
      </x:c>
      <x:c r="L10" s="7" t="str">
        <x:v>AUTHORIZED_VENDOR_NOT_SELECTED</x:v>
      </x:c>
      <x:c r="M10" s="7" t="str">
        <x:v>NOT_APPROVED_FOR_PROCUREMENT</x:v>
      </x:c>
      <x:c r="N10" s="7" t="str">
        <x:v>UNVERIFIED</x:v>
      </x:c>
      <x:c r="O10" s="7" t="str">
        <x:v>UNKNOWN</x:v>
      </x:c>
      <x:c r="P10" s="7" t="str">
        <x:v>Inherited candidate quantity; netlist/thermal review pending</x:v>
      </x:c>
    </x:row>
    <x:row r="11" ht="76" customHeight="1">
      <x:c r="A11" s="7" t="str">
        <x:v>B-007</x:v>
      </x:c>
      <x:c r="B11" s="7" t="str">
        <x:v>SN74LVC1G32DBVR</x:v>
      </x:c>
      <x:c r="C11" s="7" t="str">
        <x:v>双输入OR联锁门</x:v>
      </x:c>
      <x:c r="D11" s="7" t="str">
        <x:v>SOT-23-5; pins UNKNOWN</x:v>
      </x:c>
      <x:c r="E11" s="7" t="n">
        <x:v>1</x:v>
      </x:c>
      <x:c r="F11" s="10" t="n">
        <x:v>0.1</x:v>
      </x:c>
      <x:c r="G11" s="7" t="n">
        <x:f>ROUNDUP(E11*(1+F11),0)</x:f>
        <x:v>2</x:v>
      </x:c>
      <x:c r="H11" s="7" t="str">
        <x:v>UP_B007_001</x:v>
      </x:c>
      <x:c r="I11" s="7" t="str">
        <x:v>OE fail-high 组合/拉起，逻辑需核验</x:v>
      </x:c>
      <x:c r="J11" s="7" t="str">
        <x:v>UNKNOWN</x:v>
      </x:c>
      <x:c r="K11" s="7" t="str">
        <x:v>https://www.ti.com/product/SN74LVC1G32</x:v>
      </x:c>
      <x:c r="L11" s="7" t="str">
        <x:v>AUTHORIZED_VENDOR_NOT_SELECTED</x:v>
      </x:c>
      <x:c r="M11" s="7" t="str">
        <x:v>NOT_APPROVED_FOR_PROCUREMENT</x:v>
      </x:c>
      <x:c r="N11" s="7" t="str">
        <x:v>UNVERIFIED</x:v>
      </x:c>
      <x:c r="O11" s="7" t="str">
        <x:v>UNKNOWN</x:v>
      </x:c>
      <x:c r="P11" s="7" t="str">
        <x:v>Inherited candidate quantity; netlist/thermal review pending</x:v>
      </x:c>
    </x:row>
    <x:row r="12" ht="76" customHeight="1">
      <x:c r="A12" s="7" t="str">
        <x:v>B-008</x:v>
      </x:c>
      <x:c r="B12" s="7" t="str">
        <x:v>TLV803 / TPS3839 类（需定料）</x:v>
      </x:c>
      <x:c r="C12" s="7" t="str">
        <x:v>独立上电复位/欠压检测</x:v>
      </x:c>
      <x:c r="D12" s="7" t="str">
        <x:v>SOT-23 TBD; pins UNKNOWN</x:v>
      </x:c>
      <x:c r="E12" s="7" t="n">
        <x:v>1</x:v>
      </x:c>
      <x:c r="F12" s="10" t="n">
        <x:v>0.1</x:v>
      </x:c>
      <x:c r="G12" s="7" t="n">
        <x:f>ROUNDUP(E12*(1+F12),0)</x:f>
        <x:v>2</x:v>
      </x:c>
      <x:c r="H12" s="7" t="str">
        <x:v>UP_B008_001</x:v>
      </x:c>
      <x:c r="I12" s="7" t="str">
        <x:v>监测各板本地3.3V；独立硬件复位/禁能</x:v>
      </x:c>
      <x:c r="J12" s="7" t="str">
        <x:v>UNKNOWN</x:v>
      </x:c>
      <x:c r="K12" s="7" t="str">
        <x:v>https://www.ti.com/product/TPS3839</x:v>
      </x:c>
      <x:c r="L12" s="7" t="str">
        <x:v>AUTHORIZED_VENDOR_NOT_SELECTED</x:v>
      </x:c>
      <x:c r="M12" s="7" t="str">
        <x:v>NOT_APPROVED_FOR_PROCUREMENT</x:v>
      </x:c>
      <x:c r="N12" s="7" t="str">
        <x:v>UNVERIFIED</x:v>
      </x:c>
      <x:c r="O12" s="7" t="str">
        <x:v>UNKNOWN</x:v>
      </x:c>
      <x:c r="P12" s="7" t="str">
        <x:v>Inherited candidate quantity; netlist/thermal review pending</x:v>
      </x:c>
    </x:row>
    <x:row r="13" ht="76" customHeight="1">
      <x:c r="A13" s="7" t="str">
        <x:v>B-009</x:v>
      </x:c>
      <x:c r="B13" s="7" t="str">
        <x:v>TPS3430 类（需定料）</x:v>
      </x:c>
      <x:c r="C13" s="7" t="str">
        <x:v>硬件失联看门狗</x:v>
      </x:c>
      <x:c r="D13" s="7" t="str">
        <x:v>TBD; pins UNKNOWN</x:v>
      </x:c>
      <x:c r="E13" s="7" t="n">
        <x:v>1</x:v>
      </x:c>
      <x:c r="F13" s="10" t="n">
        <x:v>0.1</x:v>
      </x:c>
      <x:c r="G13" s="7" t="n">
        <x:f>ROUNDUP(E13*(1+F13),0)</x:f>
        <x:v>2</x:v>
      </x:c>
      <x:c r="H13" s="7" t="str">
        <x:v>UP_B009_001</x:v>
      </x:c>
      <x:c r="I13" s="7" t="str">
        <x:v>EN必须由本地心跳与PGOOD共同允许；不可仅FPGA软件控制</x:v>
      </x:c>
      <x:c r="J13" s="7" t="str">
        <x:v>UNKNOWN</x:v>
      </x:c>
      <x:c r="K13" s="7" t="str">
        <x:v>https://www.ti.com/product/TPS3430</x:v>
      </x:c>
      <x:c r="L13" s="7" t="str">
        <x:v>AUTHORIZED_VENDOR_NOT_SELECTED</x:v>
      </x:c>
      <x:c r="M13" s="7" t="str">
        <x:v>NOT_APPROVED_FOR_PROCUREMENT</x:v>
      </x:c>
      <x:c r="N13" s="7" t="str">
        <x:v>UNVERIFIED</x:v>
      </x:c>
      <x:c r="O13" s="7" t="str">
        <x:v>UNKNOWN</x:v>
      </x:c>
      <x:c r="P13" s="7" t="str">
        <x:v>Inherited candidate quantity; netlist/thermal review pending</x:v>
      </x:c>
    </x:row>
    <x:row r="14" ht="76" customHeight="1">
      <x:c r="A14" s="7" t="str">
        <x:v>B-010</x:v>
      </x:c>
      <x:c r="B14" s="7" t="str">
        <x:v>TMUX1574PWR</x:v>
      </x:c>
      <x:c r="C14" s="7" t="str">
        <x:v>4通道SPDT切换开关</x:v>
      </x:c>
      <x:c r="D14" s="7" t="str">
        <x:v>TSSOP-16; pins UNKNOWN</x:v>
      </x:c>
      <x:c r="E14" s="7" t="n">
        <x:v>1</x:v>
      </x:c>
      <x:c r="F14" s="10" t="n">
        <x:v>0.1</x:v>
      </x:c>
      <x:c r="G14" s="7" t="n">
        <x:f>ROUNDUP(E14*(1+F14),0)</x:f>
        <x:v>2</x:v>
      </x:c>
      <x:c r="H14" s="7" t="str">
        <x:v>UP_B010_001</x:v>
      </x:c>
      <x:c r="I14" s="7" t="str">
        <x:v>每板4 RX通道；空白期切到静态偏置</x:v>
      </x:c>
      <x:c r="J14" s="7" t="str">
        <x:v>UNKNOWN</x:v>
      </x:c>
      <x:c r="K14" s="7" t="str">
        <x:v>https://www.ti.com/product/TMUX1574</x:v>
      </x:c>
      <x:c r="L14" s="7" t="str">
        <x:v>AUTHORIZED_VENDOR_NOT_SELECTED</x:v>
      </x:c>
      <x:c r="M14" s="7" t="str">
        <x:v>NOT_APPROVED_FOR_PROCUREMENT</x:v>
      </x:c>
      <x:c r="N14" s="7" t="str">
        <x:v>UNVERIFIED</x:v>
      </x:c>
      <x:c r="O14" s="7" t="str">
        <x:v>UNKNOWN</x:v>
      </x:c>
      <x:c r="P14" s="7" t="str">
        <x:v>Inherited candidate quantity; netlist/thermal review pending</x:v>
      </x:c>
    </x:row>
    <x:row r="15" ht="76" customHeight="1">
      <x:c r="A15" s="7" t="str">
        <x:v>B-011</x:v>
      </x:c>
      <x:c r="B15" s="7" t="str">
        <x:v>OPA4192IPWR</x:v>
      </x:c>
      <x:c r="C15" s="7" t="str">
        <x:v>四路精密运放</x:v>
      </x:c>
      <x:c r="D15" s="7" t="str">
        <x:v>TSSOP-14; pins UNKNOWN</x:v>
      </x:c>
      <x:c r="E15" s="7" t="n">
        <x:v>2</x:v>
      </x:c>
      <x:c r="F15" s="10" t="n">
        <x:v>0.1</x:v>
      </x:c>
      <x:c r="G15" s="7" t="n">
        <x:f>ROUNDUP(E15*(1+F15),0)</x:f>
        <x:v>3</x:v>
      </x:c>
      <x:c r="H15" s="7" t="str">
        <x:v>UP_B011_001, UP_B011_002</x:v>
      </x:c>
      <x:c r="I15" s="7" t="str">
        <x:v>每个RX两级，合计16运放单元</x:v>
      </x:c>
      <x:c r="J15" s="7" t="str">
        <x:v>UNKNOWN</x:v>
      </x:c>
      <x:c r="K15" s="7" t="str">
        <x:v>https://www.ti.com/product/OPA4192</x:v>
      </x:c>
      <x:c r="L15" s="7" t="str">
        <x:v>AUTHORIZED_VENDOR_NOT_SELECTED</x:v>
      </x:c>
      <x:c r="M15" s="7" t="str">
        <x:v>NOT_APPROVED_FOR_PROCUREMENT</x:v>
      </x:c>
      <x:c r="N15" s="7" t="str">
        <x:v>UNVERIFIED</x:v>
      </x:c>
      <x:c r="O15" s="7" t="str">
        <x:v>UNKNOWN</x:v>
      </x:c>
      <x:c r="P15" s="7" t="str">
        <x:v>Inherited candidate quantity; netlist/thermal review pending</x:v>
      </x:c>
    </x:row>
    <x:row r="16" ht="76" customHeight="1">
      <x:c r="A16" s="7" t="str">
        <x:v>B-012</x:v>
      </x:c>
      <x:c r="B16" s="7" t="str">
        <x:v>REF5025AIDR</x:v>
      </x:c>
      <x:c r="C16" s="7" t="str">
        <x:v>2.5V 精密偏置基准</x:v>
      </x:c>
      <x:c r="D16" s="7" t="str">
        <x:v>SOIC-8; pins UNKNOWN</x:v>
      </x:c>
      <x:c r="E16" s="7" t="n">
        <x:v>1</x:v>
      </x:c>
      <x:c r="F16" s="10" t="n">
        <x:v>0.1</x:v>
      </x:c>
      <x:c r="G16" s="7" t="n">
        <x:f>ROUNDUP(E16*(1+F16),0)</x:f>
        <x:v>2</x:v>
      </x:c>
      <x:c r="H16" s="7" t="str">
        <x:v>UP_B012_001</x:v>
      </x:c>
      <x:c r="I16" s="7" t="str">
        <x:v>各板一颗；ADC内部基准另按AD7606B约束</x:v>
      </x:c>
      <x:c r="J16" s="7" t="str">
        <x:v>UNKNOWN</x:v>
      </x:c>
      <x:c r="K16" s="7" t="str">
        <x:v>https://www.ti.com/product/REF5025</x:v>
      </x:c>
      <x:c r="L16" s="7" t="str">
        <x:v>AUTHORIZED_VENDOR_NOT_SELECTED</x:v>
      </x:c>
      <x:c r="M16" s="7" t="str">
        <x:v>NOT_APPROVED_FOR_PROCUREMENT</x:v>
      </x:c>
      <x:c r="N16" s="7" t="str">
        <x:v>UNVERIFIED</x:v>
      </x:c>
      <x:c r="O16" s="7" t="str">
        <x:v>UNKNOWN</x:v>
      </x:c>
      <x:c r="P16" s="7" t="str">
        <x:v>Inherited candidate quantity; netlist/thermal review pending</x:v>
      </x:c>
    </x:row>
    <x:row r="17" ht="76" customHeight="1">
      <x:c r="A17" s="7" t="str">
        <x:v>B-013</x:v>
      </x:c>
      <x:c r="B17" s="7" t="str">
        <x:v>BAT54S</x:v>
      </x:c>
      <x:c r="C17" s="7" t="str">
        <x:v>双肖特基输入保护</x:v>
      </x:c>
      <x:c r="D17" s="7" t="str">
        <x:v>SOT-23; pins UNKNOWN</x:v>
      </x:c>
      <x:c r="E17" s="7" t="n">
        <x:v>4</x:v>
      </x:c>
      <x:c r="F17" s="10" t="n">
        <x:v>0.1</x:v>
      </x:c>
      <x:c r="G17" s="7" t="n">
        <x:f>ROUNDUP(E17*(1+F17),0)</x:f>
        <x:v>5</x:v>
      </x:c>
      <x:c r="H17" s="7" t="str">
        <x:v>UP_B013_001, UP_B013_002, UP_B013_003, UP_B013_004</x:v>
      </x:c>
      <x:c r="I17" s="7" t="str">
        <x:v>每RX一路</x:v>
      </x:c>
      <x:c r="J17" s="7" t="str">
        <x:v>UNKNOWN</x:v>
      </x:c>
      <x:c r="K17" s="7" t="str">
        <x:v>https://www.lcsc.com</x:v>
      </x:c>
      <x:c r="L17" s="7" t="str">
        <x:v>AUTHORIZED_VENDOR_NOT_SELECTED</x:v>
      </x:c>
      <x:c r="M17" s="7" t="str">
        <x:v>NOT_APPROVED_FOR_PROCUREMENT</x:v>
      </x:c>
      <x:c r="N17" s="7" t="str">
        <x:v>UNVERIFIED</x:v>
      </x:c>
      <x:c r="O17" s="7" t="str">
        <x:v>UNKNOWN</x:v>
      </x:c>
      <x:c r="P17" s="7" t="str">
        <x:v>Inherited candidate quantity; netlist/thermal review pending</x:v>
      </x:c>
    </x:row>
    <x:row r="18" ht="76" customHeight="1">
      <x:c r="A18" s="7" t="str">
        <x:v>B-018</x:v>
      </x:c>
      <x:c r="B18" s="7" t="str">
        <x:v>XT30PW-M30.G.Y</x:v>
      </x:c>
      <x:c r="C18" s="7" t="str">
        <x:v>独立12V电源输入座</x:v>
      </x:c>
      <x:c r="D18" s="7" t="str">
        <x:v>THT; pins UNKNOWN</x:v>
      </x:c>
      <x:c r="E18" s="7" t="n">
        <x:v>1</x:v>
      </x:c>
      <x:c r="F18" s="10" t="n">
        <x:v>0.1</x:v>
      </x:c>
      <x:c r="G18" s="7" t="n">
        <x:f>ROUNDUP(E18*(1+F18),0)</x:f>
        <x:v>2</x:v>
      </x:c>
      <x:c r="H18" s="7" t="str">
        <x:v>UP_B018_001</x:v>
      </x:c>
      <x:c r="I18" s="7" t="str">
        <x:v>每阵列专属PWR_UP_IN/PWR_LO_IN；不得从J10/J11取功率</x:v>
      </x:c>
      <x:c r="J18" s="7" t="str">
        <x:v>UNKNOWN</x:v>
      </x:c>
      <x:c r="K18" s="7" t="str">
        <x:v>https://www.lcsc.com</x:v>
      </x:c>
      <x:c r="L18" s="7" t="str">
        <x:v>AUTHORIZED_VENDOR_NOT_SELECTED</x:v>
      </x:c>
      <x:c r="M18" s="7" t="str">
        <x:v>NOT_APPROVED_FOR_PROCUREMENT</x:v>
      </x:c>
      <x:c r="N18" s="7" t="str">
        <x:v>UNVERIFIED</x:v>
      </x:c>
      <x:c r="O18" s="7" t="str">
        <x:v>UNKNOWN</x:v>
      </x:c>
      <x:c r="P18" s="7" t="str">
        <x:v>Inherited candidate quantity; netlist/thermal review pending</x:v>
      </x:c>
    </x:row>
    <x:row r="19" ht="76" customHeight="1">
      <x:c r="A19" s="7" t="str">
        <x:v>B-020</x:v>
      </x:c>
      <x:c r="B19" s="7" t="str">
        <x:v>TPS259470LRPWR</x:v>
      </x:c>
      <x:c r="C19" s="7" t="str">
        <x:v>正向/反向/过流eFuse</x:v>
      </x:c>
      <x:c r="D19" s="7" t="str">
        <x:v>VQFN-10; pins UNKNOWN</x:v>
      </x:c>
      <x:c r="E19" s="7" t="n">
        <x:v>1</x:v>
      </x:c>
      <x:c r="F19" s="10" t="n">
        <x:v>0.1</x:v>
      </x:c>
      <x:c r="G19" s="7" t="n">
        <x:f>ROUNDUP(E19*(1+F19),0)</x:f>
        <x:v>2</x:v>
      </x:c>
      <x:c r="H19" s="7" t="str">
        <x:v>UP_B020_001</x:v>
      </x:c>
      <x:c r="I19" s="7" t="str">
        <x:v>三路电源各自配置ILIM/OVLO；历史2A只是候选</x:v>
      </x:c>
      <x:c r="J19" s="7" t="str">
        <x:v>UNKNOWN</x:v>
      </x:c>
      <x:c r="K19" s="7" t="str">
        <x:v>https://www.ti.com/product/TPS25947</x:v>
      </x:c>
      <x:c r="L19" s="7" t="str">
        <x:v>AUTHORIZED_VENDOR_NOT_SELECTED</x:v>
      </x:c>
      <x:c r="M19" s="7" t="str">
        <x:v>NOT_APPROVED_FOR_PROCUREMENT</x:v>
      </x:c>
      <x:c r="N19" s="7" t="str">
        <x:v>UNVERIFIED</x:v>
      </x:c>
      <x:c r="O19" s="7" t="str">
        <x:v>UNKNOWN</x:v>
      </x:c>
      <x:c r="P19" s="7" t="str">
        <x:v>Inherited candidate quantity; netlist/thermal review pending</x:v>
      </x:c>
    </x:row>
    <x:row r="20" ht="76" customHeight="1">
      <x:c r="A20" s="7" t="str">
        <x:v>B-021</x:v>
      </x:c>
      <x:c r="B20" s="7" t="str">
        <x:v>INA226AIDGSR</x:v>
      </x:c>
      <x:c r="C20" s="7" t="str">
        <x:v>电源监控IC</x:v>
      </x:c>
      <x:c r="D20" s="7" t="str">
        <x:v>VSSOP-10; pins UNKNOWN</x:v>
      </x:c>
      <x:c r="E20" s="7" t="n">
        <x:v>1</x:v>
      </x:c>
      <x:c r="F20" s="10" t="n">
        <x:v>0.1</x:v>
      </x:c>
      <x:c r="G20" s="7" t="n">
        <x:f>ROUNDUP(E20*(1+F20),0)</x:f>
        <x:v>2</x:v>
      </x:c>
      <x:c r="H20" s="7" t="str">
        <x:v>UP_B021_001</x:v>
      </x:c>
      <x:c r="I20" s="7" t="str">
        <x:v>两阵列+中央各一颗，shunt实际功耗需核算</x:v>
      </x:c>
      <x:c r="J20" s="7" t="str">
        <x:v>UNKNOWN</x:v>
      </x:c>
      <x:c r="K20" s="7" t="str">
        <x:v>https://www.ti.com/product/INA226</x:v>
      </x:c>
      <x:c r="L20" s="7" t="str">
        <x:v>AUTHORIZED_VENDOR_NOT_SELECTED</x:v>
      </x:c>
      <x:c r="M20" s="7" t="str">
        <x:v>NOT_APPROVED_FOR_PROCUREMENT</x:v>
      </x:c>
      <x:c r="N20" s="7" t="str">
        <x:v>UNVERIFIED</x:v>
      </x:c>
      <x:c r="O20" s="7" t="str">
        <x:v>UNKNOWN</x:v>
      </x:c>
      <x:c r="P20" s="7" t="str">
        <x:v>Inherited candidate quantity; netlist/thermal review pending</x:v>
      </x:c>
    </x:row>
    <x:row r="21" ht="76" customHeight="1">
      <x:c r="A21" s="7" t="str">
        <x:v>B-022</x:v>
      </x:c>
      <x:c r="B21" s="7" t="str">
        <x:v>20mΩ 2512 1% 2W</x:v>
      </x:c>
      <x:c r="C21" s="7" t="str">
        <x:v>低值分流电阻</x:v>
      </x:c>
      <x:c r="D21" s="7" t="str">
        <x:v>2512; pins UNKNOWN</x:v>
      </x:c>
      <x:c r="E21" s="7" t="n">
        <x:v>1</x:v>
      </x:c>
      <x:c r="F21" s="10" t="n">
        <x:v>0.1</x:v>
      </x:c>
      <x:c r="G21" s="7" t="n">
        <x:f>ROUNDUP(E21*(1+F21),0)</x:f>
        <x:v>2</x:v>
      </x:c>
      <x:c r="H21" s="7" t="str">
        <x:v>UP_B022_001</x:v>
      </x:c>
      <x:c r="I21" s="7" t="str">
        <x:v>20mΩ：INA226电流测量满量程约±4.096A</x:v>
      </x:c>
      <x:c r="J21" s="7" t="str">
        <x:v>UNKNOWN</x:v>
      </x:c>
      <x:c r="K21" s="7" t="str">
        <x:v>https://www.lcsc.com</x:v>
      </x:c>
      <x:c r="L21" s="7" t="str">
        <x:v>AUTHORIZED_VENDOR_NOT_SELECTED</x:v>
      </x:c>
      <x:c r="M21" s="7" t="str">
        <x:v>NOT_APPROVED_FOR_PROCUREMENT</x:v>
      </x:c>
      <x:c r="N21" s="7" t="str">
        <x:v>UNVERIFIED</x:v>
      </x:c>
      <x:c r="O21" s="7" t="str">
        <x:v>UNKNOWN</x:v>
      </x:c>
      <x:c r="P21" s="7" t="str">
        <x:v>Inherited candidate quantity; netlist/thermal review pending</x:v>
      </x:c>
    </x:row>
    <x:row r="22" ht="76" customHeight="1">
      <x:c r="A22" s="7" t="str">
        <x:v>B-023</x:v>
      </x:c>
      <x:c r="B22" s="7" t="str">
        <x:v>SMBJ20A 类</x:v>
      </x:c>
      <x:c r="C22" s="7" t="str">
        <x:v>输入TVS</x:v>
      </x:c>
      <x:c r="D22" s="7" t="str">
        <x:v>SMB; pins UNKNOWN</x:v>
      </x:c>
      <x:c r="E22" s="7" t="n">
        <x:v>1</x:v>
      </x:c>
      <x:c r="F22" s="10" t="n">
        <x:v>0.1</x:v>
      </x:c>
      <x:c r="G22" s="7" t="n">
        <x:f>ROUNDUP(E22*(1+F22),0)</x:f>
        <x:v>2</x:v>
      </x:c>
      <x:c r="H22" s="7" t="str">
        <x:v>UP_B023_001</x:v>
      </x:c>
      <x:c r="I22" s="7" t="str">
        <x:v>SMBJ20A候选撤销释放；32.4V钳位高于eFuse28V abs max</x:v>
      </x:c>
      <x:c r="J22" s="7" t="str">
        <x:v>UNKNOWN</x:v>
      </x:c>
      <x:c r="K22" s="7" t="str">
        <x:v>https://www.littelfuse.com/products/tvs-diodes/smbj.aspx</x:v>
      </x:c>
      <x:c r="L22" s="7" t="str">
        <x:v>AUTHORIZED_VENDOR_NOT_SELECTED</x:v>
      </x:c>
      <x:c r="M22" s="7" t="str">
        <x:v>NOT_APPROVED_FOR_PROCUREMENT</x:v>
      </x:c>
      <x:c r="N22" s="7" t="str">
        <x:v>UNVERIFIED</x:v>
      </x:c>
      <x:c r="O22" s="7" t="str">
        <x:v>UNKNOWN</x:v>
      </x:c>
      <x:c r="P22" s="7" t="str">
        <x:v>Inherited SMBJ20A clamp cannot be assumed safe for &lt;=23V eFuse; dynamic clamp/current and buck absolute limits HOLD</x:v>
      </x:c>
    </x:row>
    <x:row r="23" ht="76" customHeight="1">
      <x:c r="A23" s="7" t="str">
        <x:v>B-024</x:v>
      </x:c>
      <x:c r="B23" s="7" t="str">
        <x:v>2A 慢断候选，具体值TBD</x:v>
      </x:c>
      <x:c r="C23" s="7" t="str">
        <x:v>独立熔断器及座</x:v>
      </x:c>
      <x:c r="D23" s="7" t="str">
        <x:v>TBD; pins UNKNOWN</x:v>
      </x:c>
      <x:c r="E23" s="7" t="n">
        <x:v>1</x:v>
      </x:c>
      <x:c r="F23" s="10" t="n">
        <x:v>0.1</x:v>
      </x:c>
      <x:c r="G23" s="7" t="n">
        <x:f>ROUNDUP(E23*(1+F23),0)</x:f>
        <x:v>2</x:v>
      </x:c>
      <x:c r="H23" s="7" t="str">
        <x:v>UP_B024_001</x:v>
      </x:c>
      <x:c r="I23" s="7" t="str">
        <x:v>3路/需按实测峰值选值</x:v>
      </x:c>
      <x:c r="J23" s="7" t="str">
        <x:v>UNKNOWN</x:v>
      </x:c>
      <x:c r="K23" s="7" t="str">
        <x:v>https://www.lcsc.com</x:v>
      </x:c>
      <x:c r="L23" s="7" t="str">
        <x:v>AUTHORIZED_VENDOR_NOT_SELECTED</x:v>
      </x:c>
      <x:c r="M23" s="7" t="str">
        <x:v>NOT_APPROVED_FOR_PROCUREMENT</x:v>
      </x:c>
      <x:c r="N23" s="7" t="str">
        <x:v>UNVERIFIED</x:v>
      </x:c>
      <x:c r="O23" s="7" t="str">
        <x:v>UNKNOWN</x:v>
      </x:c>
      <x:c r="P23" s="7" t="str">
        <x:v>2A candidate is not validated with5A source; fuse/eFuse/wire inrush/selectivity HOLD</x:v>
      </x:c>
    </x:row>
    <x:row r="24" ht="76" customHeight="1">
      <x:c r="A24" s="7" t="str">
        <x:v>B-025</x:v>
      </x:c>
      <x:c r="B24" s="7" t="str">
        <x:v>E-STOP接口 + NC触点/继电开关待定</x:v>
      </x:c>
      <x:c r="C24" s="7" t="str">
        <x:v>板级电源总开关/硬件急停输入</x:v>
      </x:c>
      <x:c r="D24" s="7" t="str">
        <x:v>TBD; pins UNKNOWN</x:v>
      </x:c>
      <x:c r="E24" s="7" t="n">
        <x:v>1</x:v>
      </x:c>
      <x:c r="F24" s="10" t="n">
        <x:v>0.1</x:v>
      </x:c>
      <x:c r="G24" s="7" t="n">
        <x:f>ROUNDUP(E24*(1+F24),0)</x:f>
        <x:v>2</x:v>
      </x:c>
      <x:c r="H24" s="7" t="str">
        <x:v>UP_B025_001</x:v>
      </x:c>
      <x:c r="I24" s="7" t="str">
        <x:v>硬件切断driver enable或电源域，二选一/组合实测</x:v>
      </x:c>
      <x:c r="J24" s="7" t="str">
        <x:v>UNKNOWN</x:v>
      </x:c>
      <x:c r="K24" s="7" t="str">
        <x:v>https://www.ti.com/product/TPS25947</x:v>
      </x:c>
      <x:c r="L24" s="7" t="str">
        <x:v>AUTHORIZED_VENDOR_NOT_SELECTED</x:v>
      </x:c>
      <x:c r="M24" s="7" t="str">
        <x:v>NOT_APPROVED_FOR_PROCUREMENT</x:v>
      </x:c>
      <x:c r="N24" s="7" t="str">
        <x:v>UNVERIFIED</x:v>
      </x:c>
      <x:c r="O24" s="7" t="str">
        <x:v>UNKNOWN</x:v>
      </x:c>
      <x:c r="P24" s="7" t="str">
        <x:v>Inherited candidate quantity; netlist/thermal review pending</x:v>
      </x:c>
    </x:row>
    <x:row r="25" ht="76" customHeight="1">
      <x:c r="A25" s="7" t="str">
        <x:v>B-026</x:v>
      </x:c>
      <x:c r="B25" s="7" t="str">
        <x:v>开漏/拉升/隔离网络 TBD</x:v>
      </x:c>
      <x:c r="C25" s="7" t="str">
        <x:v>本地PGOOD与FAULT反馈电路</x:v>
      </x:c>
      <x:c r="D25" s="7" t="str">
        <x:v>离散; pins UNKNOWN</x:v>
      </x:c>
      <x:c r="E25" s="7" t="n">
        <x:v>1</x:v>
      </x:c>
      <x:c r="F25" s="10" t="n">
        <x:v>0.1</x:v>
      </x:c>
      <x:c r="G25" s="7" t="n">
        <x:f>ROUNDUP(E25*(1+F25),0)</x:f>
        <x:v>2</x:v>
      </x:c>
      <x:c r="H25" s="7" t="str">
        <x:v>UP_B026_001</x:v>
      </x:c>
      <x:c r="I25" s="7" t="str">
        <x:v>每板输出LOCAL_PGOOD/LOCAL_FAULT</x:v>
      </x:c>
      <x:c r="J25" s="7" t="str">
        <x:v>UNKNOWN</x:v>
      </x:c>
      <x:c r="K25" s="7" t="str">
        <x:v>https://www.ti.com/product/SN74AXC8T245</x:v>
      </x:c>
      <x:c r="L25" s="7" t="str">
        <x:v>AUTHORIZED_VENDOR_NOT_SELECTED</x:v>
      </x:c>
      <x:c r="M25" s="7" t="str">
        <x:v>NOT_APPROVED_FOR_PROCUREMENT</x:v>
      </x:c>
      <x:c r="N25" s="7" t="str">
        <x:v>UNVERIFIED</x:v>
      </x:c>
      <x:c r="O25" s="7" t="str">
        <x:v>UNKNOWN</x:v>
      </x:c>
      <x:c r="P25" s="7" t="str">
        <x:v>Inherited candidate quantity; netlist/thermal review pending</x:v>
      </x:c>
    </x:row>
    <x:row r="26" ht="76" customHeight="1">
      <x:c r="A26" s="7" t="str">
        <x:v>B-027</x:v>
      </x:c>
      <x:c r="B26" s="7" t="str">
        <x:v>AP63203WU-7</x:v>
      </x:c>
      <x:c r="C26" s="7" t="str">
        <x:v>3.3V数字电源DC/DC</x:v>
      </x:c>
      <x:c r="D26" s="7" t="str">
        <x:v>TSOT-26; pins UNKNOWN</x:v>
      </x:c>
      <x:c r="E26" s="7" t="n">
        <x:v>1</x:v>
      </x:c>
      <x:c r="F26" s="10" t="n">
        <x:v>0.1</x:v>
      </x:c>
      <x:c r="G26" s="7" t="n">
        <x:f>ROUNDUP(E26*(1+F26),0)</x:f>
        <x:v>2</x:v>
      </x:c>
      <x:c r="H26" s="7" t="str">
        <x:v>UP_B027_001</x:v>
      </x:c>
      <x:c r="I26" s="7" t="str">
        <x:v>每板12V→3.3V；负载核验</x:v>
      </x:c>
      <x:c r="J26" s="7" t="str">
        <x:v>UNKNOWN</x:v>
      </x:c>
      <x:c r="K26" s="7" t="str">
        <x:v>https://www.diodes.com/part/view/AP63203</x:v>
      </x:c>
      <x:c r="L26" s="7" t="str">
        <x:v>AUTHORIZED_VENDOR_NOT_SELECTED</x:v>
      </x:c>
      <x:c r="M26" s="7" t="str">
        <x:v>NOT_APPROVED_FOR_PROCUREMENT</x:v>
      </x:c>
      <x:c r="N26" s="7" t="str">
        <x:v>UNVERIFIED</x:v>
      </x:c>
      <x:c r="O26" s="7" t="str">
        <x:v>UNKNOWN</x:v>
      </x:c>
      <x:c r="P26" s="7" t="str">
        <x:v>No central12V supply/converter or5V-to5V LDO headroom; central header budget HOLD</x:v>
      </x:c>
    </x:row>
    <x:row r="27" ht="76" customHeight="1">
      <x:c r="A27" s="7" t="str">
        <x:v>B-028</x:v>
      </x:c>
      <x:c r="B27" s="7" t="str">
        <x:v>AP63200WU-7</x:v>
      </x:c>
      <x:c r="C27" s="7" t="str">
        <x:v>5.5V可调DC/DC</x:v>
      </x:c>
      <x:c r="D27" s="7" t="str">
        <x:v>TSOT-26; pins UNKNOWN</x:v>
      </x:c>
      <x:c r="E27" s="7" t="n">
        <x:v>1</x:v>
      </x:c>
      <x:c r="F27" s="10" t="n">
        <x:v>0.1</x:v>
      </x:c>
      <x:c r="G27" s="7" t="n">
        <x:f>ROUNDUP(E27*(1+F27),0)</x:f>
        <x:v>2</x:v>
      </x:c>
      <x:c r="H27" s="7" t="str">
        <x:v>UP_B028_001</x:v>
      </x:c>
      <x:c r="I27" s="7" t="str">
        <x:v>5.5V预稳压+5V LDO；按实际负载核验</x:v>
      </x:c>
      <x:c r="J27" s="7" t="str">
        <x:v>UNKNOWN</x:v>
      </x:c>
      <x:c r="K27" s="7" t="str">
        <x:v>https://www.diodes.com/part/view/AP63200</x:v>
      </x:c>
      <x:c r="L27" s="7" t="str">
        <x:v>AUTHORIZED_VENDOR_NOT_SELECTED</x:v>
      </x:c>
      <x:c r="M27" s="7" t="str">
        <x:v>NOT_APPROVED_FOR_PROCUREMENT</x:v>
      </x:c>
      <x:c r="N27" s="7" t="str">
        <x:v>UNVERIFIED</x:v>
      </x:c>
      <x:c r="O27" s="7" t="str">
        <x:v>UNKNOWN</x:v>
      </x:c>
      <x:c r="P27" s="7" t="str">
        <x:v>No central12V supply/converter or5V-to5V LDO headroom; central header budget HOLD</x:v>
      </x:c>
    </x:row>
    <x:row r="28" ht="76" customHeight="1">
      <x:c r="A28" s="7" t="str">
        <x:v>B-029</x:v>
      </x:c>
      <x:c r="B28" s="7" t="str">
        <x:v>ADP7118ACPZN5.0-R7</x:v>
      </x:c>
      <x:c r="C28" s="7" t="str">
        <x:v>5V低噪声LDO</x:v>
      </x:c>
      <x:c r="D28" s="7" t="str">
        <x:v>LFCSP-6 / CP-6-3 (EP=GND); pins UNKNOWN</x:v>
      </x:c>
      <x:c r="E28" s="7" t="n">
        <x:v>1</x:v>
      </x:c>
      <x:c r="F28" s="10" t="n">
        <x:v>0.1</x:v>
      </x:c>
      <x:c r="G28" s="7" t="n">
        <x:f>ROUNDUP(E28*(1+F28),0)</x:f>
        <x:v>2</x:v>
      </x:c>
      <x:c r="H28" s="7" t="str">
        <x:v>UP_B029_001</x:v>
      </x:c>
      <x:c r="I28" s="7" t="str">
        <x:v>输出能力/热耗按精确封装与Iload审核</x:v>
      </x:c>
      <x:c r="J28" s="7" t="str">
        <x:v>UNKNOWN</x:v>
      </x:c>
      <x:c r="K28" s="7" t="str">
        <x:v>https://www.analog.com/en/products/adp7118.html</x:v>
      </x:c>
      <x:c r="L28" s="7" t="str">
        <x:v>AUTHORIZED_VENDOR_NOT_SELECTED</x:v>
      </x:c>
      <x:c r="M28" s="7" t="str">
        <x:v>NOT_APPROVED_FOR_PROCUREMENT</x:v>
      </x:c>
      <x:c r="N28" s="7" t="str">
        <x:v>UNVERIFIED</x:v>
      </x:c>
      <x:c r="O28" s="7" t="str">
        <x:v>UNKNOWN</x:v>
      </x:c>
      <x:c r="P28" s="7" t="str">
        <x:v>No central12V supply/converter or5V-to5V LDO headroom; central header budget HOLD</x:v>
      </x:c>
    </x:row>
    <x:row r="29" ht="76" customHeight="1">
      <x:c r="A29" s="7" t="str">
        <x:v>B-030</x:v>
      </x:c>
      <x:c r="B29" s="7" t="str">
        <x:v>6.8µH ≥5A 候选</x:v>
      </x:c>
      <x:c r="C29" s="7" t="str">
        <x:v>DC/DC功率电感</x:v>
      </x:c>
      <x:c r="D29" s="7" t="str">
        <x:v>SMD; pins UNKNOWN</x:v>
      </x:c>
      <x:c r="E29" s="7" t="n">
        <x:v>2</x:v>
      </x:c>
      <x:c r="F29" s="10" t="n">
        <x:v>0.1</x:v>
      </x:c>
      <x:c r="G29" s="7" t="n">
        <x:f>ROUNDUP(E29*(1+F29),0)</x:f>
        <x:v>3</x:v>
      </x:c>
      <x:c r="H29" s="7" t="str">
        <x:v>UP_B030_001, UP_B030_002</x:v>
      </x:c>
      <x:c r="I29" s="7" t="str">
        <x:v>两路buck每板2颗</x:v>
      </x:c>
      <x:c r="J29" s="7" t="str">
        <x:v>UNKNOWN</x:v>
      </x:c>
      <x:c r="K29" s="7" t="str">
        <x:v>https://www.diodes.com/part/view/AP63203</x:v>
      </x:c>
      <x:c r="L29" s="7" t="str">
        <x:v>AUTHORIZED_VENDOR_NOT_SELECTED</x:v>
      </x:c>
      <x:c r="M29" s="7" t="str">
        <x:v>NOT_APPROVED_FOR_PROCUREMENT</x:v>
      </x:c>
      <x:c r="N29" s="7" t="str">
        <x:v>UNVERIFIED</x:v>
      </x:c>
      <x:c r="O29" s="7" t="str">
        <x:v>UNKNOWN</x:v>
      </x:c>
      <x:c r="P29" s="7" t="str">
        <x:v>No central12V supply/converter or5V-to5V LDO headroom; central header budget HOLD</x:v>
      </x:c>
    </x:row>
    <x:row r="30" ht="76" customHeight="1">
      <x:c r="A30" s="7" t="str">
        <x:v>B-031</x:v>
      </x:c>
      <x:c r="B30" s="7" t="str">
        <x:v>BLM21PG221SN1D</x:v>
      </x:c>
      <x:c r="C30" s="7" t="str">
        <x:v>模拟电源磁珠</x:v>
      </x:c>
      <x:c r="D30" s="7" t="str">
        <x:v>0805; pins UNKNOWN</x:v>
      </x:c>
      <x:c r="E30" s="7" t="n">
        <x:v>1</x:v>
      </x:c>
      <x:c r="F30" s="10" t="n">
        <x:v>0.1</x:v>
      </x:c>
      <x:c r="G30" s="7" t="n">
        <x:f>ROUNDUP(E30*(1+F30),0)</x:f>
        <x:v>2</x:v>
      </x:c>
      <x:c r="H30" s="7" t="str">
        <x:v>UP_B031_001</x:v>
      </x:c>
      <x:c r="I30" s="7" t="str">
        <x:v>220Ω@100MHz / 2A 标称候选</x:v>
      </x:c>
      <x:c r="J30" s="7" t="str">
        <x:v>UNKNOWN</x:v>
      </x:c>
      <x:c r="K30" s="7" t="str">
        <x:v>https://www.lcsc.com</x:v>
      </x:c>
      <x:c r="L30" s="7" t="str">
        <x:v>AUTHORIZED_VENDOR_NOT_SELECTED</x:v>
      </x:c>
      <x:c r="M30" s="7" t="str">
        <x:v>NOT_APPROVED_FOR_PROCUREMENT</x:v>
      </x:c>
      <x:c r="N30" s="7" t="str">
        <x:v>UNVERIFIED</x:v>
      </x:c>
      <x:c r="O30" s="7" t="str">
        <x:v>UNKNOWN</x:v>
      </x:c>
      <x:c r="P30" s="7" t="str">
        <x:v>Inherited candidate quantity; netlist/thermal review pending</x:v>
      </x:c>
    </x:row>
    <x:row r="31" ht="76" customHeight="1">
      <x:c r="A31" s="7" t="str">
        <x:v>B-032</x:v>
      </x:c>
      <x:c r="B31" s="7" t="str">
        <x:v>TMP117MAIDRVR</x:v>
      </x:c>
      <x:c r="C31" s="7" t="str">
        <x:v>PCB板温监测</x:v>
      </x:c>
      <x:c r="D31" s="7" t="str">
        <x:v>WSON-6; pins 6</x:v>
      </x:c>
      <x:c r="E31" s="7" t="n">
        <x:v>1</x:v>
      </x:c>
      <x:c r="F31" s="10" t="n">
        <x:v>0.1</x:v>
      </x:c>
      <x:c r="G31" s="7" t="n">
        <x:f>ROUNDUP(E31*(1+F31),0)</x:f>
        <x:v>2</x:v>
      </x:c>
      <x:c r="H31" s="7" t="str">
        <x:v>UP_B032_001</x:v>
      </x:c>
      <x:c r="I31" s="7" t="str">
        <x:v>监测驱动温度，不等于空气温湿度</x:v>
      </x:c>
      <x:c r="J31" s="7" t="str">
        <x:v>UNKNOWN</x:v>
      </x:c>
      <x:c r="K31" s="7" t="str">
        <x:v>https://www.ti.com/lit/ds/symlink/tmp117.pdf</x:v>
      </x:c>
      <x:c r="L31" s="7" t="str">
        <x:v>AUTHORIZED_VENDOR_NOT_SELECTED</x:v>
      </x:c>
      <x:c r="M31" s="7" t="str">
        <x:v>NOT_APPROVED_FOR_PROCUREMENT</x:v>
      </x:c>
      <x:c r="N31" s="7" t="str">
        <x:v>UNVERIFIED</x:v>
      </x:c>
      <x:c r="O31" s="7" t="str">
        <x:v>UNKNOWN</x:v>
      </x:c>
      <x:c r="P31" s="7" t="str">
        <x:v>3 sensors required; CENTER air representative away from heat; UP0x49/DOWN0x4b/CENTER0x48; read ID/readiness and bounded bus; no temperatureCRC</x:v>
      </x:c>
    </x:row>
    <x:row r="32" ht="76" customHeight="1">
      <x:c r="A32" s="7" t="str">
        <x:v>B-034</x:v>
      </x:c>
      <x:c r="B32" s="7" t="str">
        <x:v>2×25 IDC防呆（候选）</x:v>
      </x:c>
      <x:c r="C32" s="7" t="str">
        <x:v>50芯独立数据接头</x:v>
      </x:c>
      <x:c r="D32" s="7" t="str">
        <x:v>THT; pins UNKNOWN</x:v>
      </x:c>
      <x:c r="E32" s="7" t="n">
        <x:v>1</x:v>
      </x:c>
      <x:c r="F32" s="10" t="n">
        <x:v>0.1</x:v>
      </x:c>
      <x:c r="G32" s="7" t="n">
        <x:f>ROUNDUP(E32*(1+F32),0)</x:f>
        <x:v>2</x:v>
      </x:c>
      <x:c r="H32" s="7" t="str">
        <x:v>UP_B034_001</x:v>
      </x:c>
      <x:c r="I32" s="7" t="str">
        <x:v>每板1个，高速数据+GND相邻，不能当成最终可用66MHz</x:v>
      </x:c>
      <x:c r="J32" s="7" t="str">
        <x:v>UNKNOWN</x:v>
      </x:c>
      <x:c r="K32" s="7" t="str">
        <x:v>https://www.lcsc.com/custom-cable-assembly</x:v>
      </x:c>
      <x:c r="L32" s="7" t="str">
        <x:v>AUTHORIZED_VENDOR_NOT_SELECTED</x:v>
      </x:c>
      <x:c r="M32" s="7" t="str">
        <x:v>NOT_APPROVED_FOR_PROCUREMENT</x:v>
      </x:c>
      <x:c r="N32" s="7" t="str">
        <x:v>UNVERIFIED</x:v>
      </x:c>
      <x:c r="O32" s="7" t="str">
        <x:v>UNKNOWN</x:v>
      </x:c>
      <x:c r="P32" s="7" t="str">
        <x:v>Inherited candidate quantity; netlist/thermal review pending</x:v>
      </x:c>
    </x:row>
    <x:row r="33" ht="76" customHeight="1">
      <x:c r="A33" s="7" t="str">
        <x:v>B-036</x:v>
      </x:c>
      <x:c r="B33" s="7" t="str">
        <x:v>不带变压器的被动8P8C/屏蔽连接器</x:v>
      </x:c>
      <x:c r="C33" s="7" t="str">
        <x:v>8芯4对模拟RX接口</x:v>
      </x:c>
      <x:c r="D33" s="7" t="str">
        <x:v>THT; pins UNKNOWN</x:v>
      </x:c>
      <x:c r="E33" s="7" t="n">
        <x:v>1</x:v>
      </x:c>
      <x:c r="F33" s="10" t="n">
        <x:v>0.1</x:v>
      </x:c>
      <x:c r="G33" s="7" t="n">
        <x:f>ROUNDUP(E33*(1+F33),0)</x:f>
        <x:v>2</x:v>
      </x:c>
      <x:c r="H33" s="7" t="str">
        <x:v>UP_B036_001</x:v>
      </x:c>
      <x:c r="I33" s="7" t="str">
        <x:v>上/下阵列各1个，中央2个，明确标非以太网</x:v>
      </x:c>
      <x:c r="J33" s="7" t="str">
        <x:v>UNKNOWN</x:v>
      </x:c>
      <x:c r="K33" s="7" t="str">
        <x:v>https://www.lcsc.com</x:v>
      </x:c>
      <x:c r="L33" s="7" t="str">
        <x:v>AUTHORIZED_VENDOR_NOT_SELECTED</x:v>
      </x:c>
      <x:c r="M33" s="7" t="str">
        <x:v>NOT_APPROVED_FOR_PROCUREMENT</x:v>
      </x:c>
      <x:c r="N33" s="7" t="str">
        <x:v>UNVERIFIED</x:v>
      </x:c>
      <x:c r="O33" s="7" t="str">
        <x:v>UNKNOWN</x:v>
      </x:c>
      <x:c r="P33" s="7" t="str">
        <x:v>Inherited candidate quantity; netlist/thermal review pending</x:v>
      </x:c>
    </x:row>
    <x:row r="34" ht="204" customHeight="1">
      <x:c r="A34" s="7" t="str">
        <x:v>B-046</x:v>
      </x:c>
      <x:c r="B34" s="7" t="str">
        <x:v>100nF 50V X7R</x:v>
      </x:c>
      <x:c r="C34" s="7" t="str">
        <x:v>100nF去耦电容</x:v>
      </x:c>
      <x:c r="D34" s="7" t="str">
        <x:v>0603; pins UNKNOWN</x:v>
      </x:c>
      <x:c r="E34" s="7" t="n">
        <x:v>71</x:v>
      </x:c>
      <x:c r="F34" s="10" t="n">
        <x:v>0.1</x:v>
      </x:c>
      <x:c r="G34" s="7" t="n">
        <x:f>ROUNDUP(E34*(1+F34),0)</x:f>
        <x:v>79</x:v>
      </x:c>
      <x:c r="H34" s="7" t="str">
        <x:v>UP_B046_001, UP_B046_002, UP_B046_003, UP_B046_004, UP_B046_005, UP_B046_006, UP_B046_007, UP_B046_008, UP_B046_009, UP_B046_010, UP_B046_011, UP_B046_012, UP_B046_013, UP_B046_014, UP_B046_015, UP_B046_016, UP_B046_017, UP_B046_018, UP_B046_019, UP_B046_020, UP_B046_021, UP_B046_022, UP_B046_023, UP_B046_024, UP_B046_025, UP_B046_026, UP_B046_027, UP_B046_028, UP_B046_029, UP_B046_030, UP_B046_031, UP_B046_032, UP_B046_033, UP_B046_034, UP_B046_035, UP_B046_036, UP_B046_037, UP_B046_038, UP_B046_039, UP_B046_040, UP_B046_041, UP_B046_042, UP_B046_043, UP_B046_044, UP_B046_045, UP_B046_046, UP_B046_047, UP_B046_048, UP_B046_049, UP_B046_050, UP_B046_051, UP_B046_052, UP_B046_053, UP_B046_054, UP_B046_055, UP_B046_056, UP_B046_057, UP_B046_058, UP_B046_059, UP_B046_060, UP_B046_061, UP_B046_062, UP_B046_063, UP_B046_064, UP_B046_065, UP_B046_066, UP_B046_067, UP_B046_068, UP_B046_069, UP_B046_070, UP_B046_071</x:v>
      </x:c>
      <x:c r="I34" s="7" t="str">
        <x:v>按原v5零件计数移植；新布板新增保护网路另计</x:v>
      </x:c>
      <x:c r="J34" s="7" t="str">
        <x:v>UNKNOWN</x:v>
      </x:c>
      <x:c r="K34" s="7" t="str">
        <x:v>https://github.com/loverlike1216/SonoField-FPGA/blob/main/v5/hardware/bom/BOM_MASTER.csv</x:v>
      </x:c>
      <x:c r="L34" s="7" t="str">
        <x:v>AUTHORIZED_VENDOR_NOT_SELECTED</x:v>
      </x:c>
      <x:c r="M34" s="7" t="str">
        <x:v>NOT_APPROVED_FOR_PROCUREMENT</x:v>
      </x:c>
      <x:c r="N34" s="7" t="str">
        <x:v>UNVERIFIED</x:v>
      </x:c>
      <x:c r="O34" s="7" t="str">
        <x:v>UNKNOWN</x:v>
      </x:c>
      <x:c r="P34" s="7" t="str">
        <x:v>Inherited candidate quantity; netlist/thermal review pending</x:v>
      </x:c>
    </x:row>
    <x:row r="35" ht="96" customHeight="1">
      <x:c r="A35" s="7" t="str">
        <x:v>B-047</x:v>
      </x:c>
      <x:c r="B35" s="7" t="str">
        <x:v>1µF 25V X7R</x:v>
      </x:c>
      <x:c r="C35" s="7" t="str">
        <x:v>1µF驱动储能</x:v>
      </x:c>
      <x:c r="D35" s="7" t="str">
        <x:v>0805; pins UNKNOWN</x:v>
      </x:c>
      <x:c r="E35" s="7" t="n">
        <x:v>33</x:v>
      </x:c>
      <x:c r="F35" s="10" t="n">
        <x:v>0.1</x:v>
      </x:c>
      <x:c r="G35" s="7" t="n">
        <x:f>ROUNDUP(E35*(1+F35),0)</x:f>
        <x:v>37</x:v>
      </x:c>
      <x:c r="H35" s="7" t="str">
        <x:v>UP_B047_001, UP_B047_002, UP_B047_003, UP_B047_004, UP_B047_005, UP_B047_006, UP_B047_007, UP_B047_008, UP_B047_009, UP_B047_010, UP_B047_011, UP_B047_012, UP_B047_013, UP_B047_014, UP_B047_015, UP_B047_016, UP_B047_017, UP_B047_018, UP_B047_019, UP_B047_020, UP_B047_021, UP_B047_022, UP_B047_023, UP_B047_024, UP_B047_025, UP_B047_026, UP_B047_027, UP_B047_028, UP_B047_029, UP_B047_030, UP_B047_031, UP_B047_032, UP_B047_033</x:v>
      </x:c>
      <x:c r="I35" s="7" t="str">
        <x:v>按原v5零件计数移植；新布板新增保护网路另计</x:v>
      </x:c>
      <x:c r="J35" s="7" t="str">
        <x:v>UNKNOWN</x:v>
      </x:c>
      <x:c r="K35" s="7" t="str">
        <x:v>https://github.com/loverlike1216/SonoField-FPGA/blob/main/v5/hardware/bom/BOM_MASTER.csv</x:v>
      </x:c>
      <x:c r="L35" s="7" t="str">
        <x:v>AUTHORIZED_VENDOR_NOT_SELECTED</x:v>
      </x:c>
      <x:c r="M35" s="7" t="str">
        <x:v>NOT_APPROVED_FOR_PROCUREMENT</x:v>
      </x:c>
      <x:c r="N35" s="7" t="str">
        <x:v>UNVERIFIED</x:v>
      </x:c>
      <x:c r="O35" s="7" t="str">
        <x:v>UNKNOWN</x:v>
      </x:c>
      <x:c r="P35" s="7" t="str">
        <x:v>Inherited candidate quantity; netlist/thermal review pending</x:v>
      </x:c>
    </x:row>
    <x:row r="36" ht="76" customHeight="1">
      <x:c r="A36" s="7" t="str">
        <x:v>B-048</x:v>
      </x:c>
      <x:c r="B36" s="7" t="str">
        <x:v>22µF 25V X7R</x:v>
      </x:c>
      <x:c r="C36" s="7" t="str">
        <x:v>22µF局部储能</x:v>
      </x:c>
      <x:c r="D36" s="7" t="str">
        <x:v>1210; pins UNKNOWN</x:v>
      </x:c>
      <x:c r="E36" s="7" t="n">
        <x:v>12</x:v>
      </x:c>
      <x:c r="F36" s="10" t="n">
        <x:v>0.1</x:v>
      </x:c>
      <x:c r="G36" s="7" t="n">
        <x:f>ROUNDUP(E36*(1+F36),0)</x:f>
        <x:v>14</x:v>
      </x:c>
      <x:c r="H36" s="7" t="str">
        <x:v>UP_B048_001, UP_B048_002, UP_B048_003, UP_B048_004, UP_B048_005, UP_B048_006, UP_B048_007, UP_B048_008, UP_B048_009, UP_B048_010, UP_B048_011, UP_B048_012</x:v>
      </x:c>
      <x:c r="I36" s="7" t="str">
        <x:v>按原v5零件计数移植；新布板新增保护网路另计</x:v>
      </x:c>
      <x:c r="J36" s="7" t="str">
        <x:v>UNKNOWN</x:v>
      </x:c>
      <x:c r="K36" s="7" t="str">
        <x:v>https://github.com/loverlike1216/SonoField-FPGA/blob/main/v5/hardware/bom/BOM_MASTER.csv</x:v>
      </x:c>
      <x:c r="L36" s="7" t="str">
        <x:v>AUTHORIZED_VENDOR_NOT_SELECTED</x:v>
      </x:c>
      <x:c r="M36" s="7" t="str">
        <x:v>NOT_APPROVED_FOR_PROCUREMENT</x:v>
      </x:c>
      <x:c r="N36" s="7" t="str">
        <x:v>UNVERIFIED</x:v>
      </x:c>
      <x:c r="O36" s="7" t="str">
        <x:v>UNKNOWN</x:v>
      </x:c>
      <x:c r="P36" s="7" t="str">
        <x:v>Inherited candidate quantity; netlist/thermal review pending</x:v>
      </x:c>
    </x:row>
    <x:row r="37" ht="76" customHeight="1">
      <x:c r="A37" s="7" t="str">
        <x:v>B-049</x:v>
      </x:c>
      <x:c r="B37" s="7" t="str">
        <x:v>10µF 25V X7R</x:v>
      </x:c>
      <x:c r="C37" s="7" t="str">
        <x:v>10µF输入去耦</x:v>
      </x:c>
      <x:c r="D37" s="7" t="str">
        <x:v>1206; pins UNKNOWN</x:v>
      </x:c>
      <x:c r="E37" s="7" t="n">
        <x:v>3</x:v>
      </x:c>
      <x:c r="F37" s="10" t="n">
        <x:v>0.1</x:v>
      </x:c>
      <x:c r="G37" s="7" t="n">
        <x:f>ROUNDUP(E37*(1+F37),0)</x:f>
        <x:v>4</x:v>
      </x:c>
      <x:c r="H37" s="7" t="str">
        <x:v>UP_B049_001, UP_B049_002, UP_B049_003</x:v>
      </x:c>
      <x:c r="I37" s="7" t="str">
        <x:v>按原v5零件计数移植；新布板新增保护网路另计</x:v>
      </x:c>
      <x:c r="J37" s="7" t="str">
        <x:v>UNKNOWN</x:v>
      </x:c>
      <x:c r="K37" s="7" t="str">
        <x:v>https://github.com/loverlike1216/SonoField-FPGA/blob/main/v5/hardware/bom/BOM_MASTER.csv</x:v>
      </x:c>
      <x:c r="L37" s="7" t="str">
        <x:v>AUTHORIZED_VENDOR_NOT_SELECTED</x:v>
      </x:c>
      <x:c r="M37" s="7" t="str">
        <x:v>NOT_APPROVED_FOR_PROCUREMENT</x:v>
      </x:c>
      <x:c r="N37" s="7" t="str">
        <x:v>UNVERIFIED</x:v>
      </x:c>
      <x:c r="O37" s="7" t="str">
        <x:v>UNKNOWN</x:v>
      </x:c>
      <x:c r="P37" s="7" t="str">
        <x:v>Inherited candidate quantity; netlist/thermal review pending</x:v>
      </x:c>
    </x:row>
    <x:row r="38" ht="76" customHeight="1">
      <x:c r="A38" s="7" t="str">
        <x:v>B-050</x:v>
      </x:c>
      <x:c r="B38" s="7" t="str">
        <x:v>2.2µF 25V X7R</x:v>
      </x:c>
      <x:c r="C38" s="7" t="str">
        <x:v>2.2µF LDO稳定电容</x:v>
      </x:c>
      <x:c r="D38" s="7" t="str">
        <x:v>0805; pins UNKNOWN</x:v>
      </x:c>
      <x:c r="E38" s="7" t="n">
        <x:v>2</x:v>
      </x:c>
      <x:c r="F38" s="10" t="n">
        <x:v>0.1</x:v>
      </x:c>
      <x:c r="G38" s="7" t="n">
        <x:f>ROUNDUP(E38*(1+F38),0)</x:f>
        <x:v>3</x:v>
      </x:c>
      <x:c r="H38" s="7" t="str">
        <x:v>UP_B050_001, UP_B050_002</x:v>
      </x:c>
      <x:c r="I38" s="7" t="str">
        <x:v>按原v5零件计数移植；新布板新增保护网路另计</x:v>
      </x:c>
      <x:c r="J38" s="7" t="str">
        <x:v>UNKNOWN</x:v>
      </x:c>
      <x:c r="K38" s="7" t="str">
        <x:v>https://github.com/loverlike1216/SonoField-FPGA/blob/main/v5/hardware/bom/BOM_MASTER.csv</x:v>
      </x:c>
      <x:c r="L38" s="7" t="str">
        <x:v>AUTHORIZED_VENDOR_NOT_SELECTED</x:v>
      </x:c>
      <x:c r="M38" s="7" t="str">
        <x:v>NOT_APPROVED_FOR_PROCUREMENT</x:v>
      </x:c>
      <x:c r="N38" s="7" t="str">
        <x:v>UNVERIFIED</x:v>
      </x:c>
      <x:c r="O38" s="7" t="str">
        <x:v>UNKNOWN</x:v>
      </x:c>
      <x:c r="P38" s="7" t="str">
        <x:v>Inherited candidate quantity; netlist/thermal review pending</x:v>
      </x:c>
    </x:row>
    <x:row r="39" ht="76" customHeight="1">
      <x:c r="A39" s="7" t="str">
        <x:v>B-051</x:v>
      </x:c>
      <x:c r="B39" s="7" t="str">
        <x:v>470µF 35V</x:v>
      </x:c>
      <x:c r="C39" s="7" t="str">
        <x:v>470µF低ESR主储能</x:v>
      </x:c>
      <x:c r="D39" s="7" t="str">
        <x:v>THT; pins UNKNOWN</x:v>
      </x:c>
      <x:c r="E39" s="7" t="n">
        <x:v>1</x:v>
      </x:c>
      <x:c r="F39" s="10" t="n">
        <x:v>0.1</x:v>
      </x:c>
      <x:c r="G39" s="7" t="n">
        <x:f>ROUNDUP(E39*(1+F39),0)</x:f>
        <x:v>2</x:v>
      </x:c>
      <x:c r="H39" s="7" t="str">
        <x:v>UP_B051_001</x:v>
      </x:c>
      <x:c r="I39" s="7" t="str">
        <x:v>按原v5零件计数移植；新布板新增保护网路另计</x:v>
      </x:c>
      <x:c r="J39" s="7" t="str">
        <x:v>UNKNOWN</x:v>
      </x:c>
      <x:c r="K39" s="7" t="str">
        <x:v>https://github.com/loverlike1216/SonoField-FPGA/blob/main/v5/hardware/bom/BOM_MASTER.csv</x:v>
      </x:c>
      <x:c r="L39" s="7" t="str">
        <x:v>AUTHORIZED_VENDOR_NOT_SELECTED</x:v>
      </x:c>
      <x:c r="M39" s="7" t="str">
        <x:v>NOT_APPROVED_FOR_PROCUREMENT</x:v>
      </x:c>
      <x:c r="N39" s="7" t="str">
        <x:v>UNVERIFIED</x:v>
      </x:c>
      <x:c r="O39" s="7" t="str">
        <x:v>UNKNOWN</x:v>
      </x:c>
      <x:c r="P39" s="7" t="str">
        <x:v>No central12V supply/converter or5V-to5V LDO headroom; central header budget HOLD</x:v>
      </x:c>
    </x:row>
    <x:row r="40" ht="76" customHeight="1">
      <x:c r="A40" s="7" t="str">
        <x:v>B-052</x:v>
      </x:c>
      <x:c r="B40" s="7" t="str">
        <x:v>10nF 50V C0G</x:v>
      </x:c>
      <x:c r="C40" s="7" t="str">
        <x:v>10nF RX耦合</x:v>
      </x:c>
      <x:c r="D40" s="7" t="str">
        <x:v>0603; pins UNKNOWN</x:v>
      </x:c>
      <x:c r="E40" s="7" t="n">
        <x:v>4</x:v>
      </x:c>
      <x:c r="F40" s="10" t="n">
        <x:v>0.1</x:v>
      </x:c>
      <x:c r="G40" s="7" t="n">
        <x:f>ROUNDUP(E40*(1+F40),0)</x:f>
        <x:v>5</x:v>
      </x:c>
      <x:c r="H40" s="7" t="str">
        <x:v>UP_B052_001, UP_B052_002, UP_B052_003, UP_B052_004</x:v>
      </x:c>
      <x:c r="I40" s="7" t="str">
        <x:v>按原v5零件计数移植；新布板新增保护网路另计</x:v>
      </x:c>
      <x:c r="J40" s="7" t="str">
        <x:v>UNKNOWN</x:v>
      </x:c>
      <x:c r="K40" s="7" t="str">
        <x:v>https://github.com/loverlike1216/SonoField-FPGA/blob/main/v5/hardware/bom/BOM_MASTER.csv</x:v>
      </x:c>
      <x:c r="L40" s="7" t="str">
        <x:v>AUTHORIZED_VENDOR_NOT_SELECTED</x:v>
      </x:c>
      <x:c r="M40" s="7" t="str">
        <x:v>NOT_APPROVED_FOR_PROCUREMENT</x:v>
      </x:c>
      <x:c r="N40" s="7" t="str">
        <x:v>UNVERIFIED</x:v>
      </x:c>
      <x:c r="O40" s="7" t="str">
        <x:v>UNKNOWN</x:v>
      </x:c>
      <x:c r="P40" s="7" t="str">
        <x:v>Inherited candidate quantity; netlist/thermal review pending</x:v>
      </x:c>
    </x:row>
    <x:row r="41" ht="76" customHeight="1">
      <x:c r="A41" s="7" t="str">
        <x:v>B-053</x:v>
      </x:c>
      <x:c r="B41" s="7" t="str">
        <x:v>1nF 50V C0G</x:v>
      </x:c>
      <x:c r="C41" s="7" t="str">
        <x:v>1nF RX噪声过滤</x:v>
      </x:c>
      <x:c r="D41" s="7" t="str">
        <x:v>0603; pins UNKNOWN</x:v>
      </x:c>
      <x:c r="E41" s="7" t="n">
        <x:v>4</x:v>
      </x:c>
      <x:c r="F41" s="10" t="n">
        <x:v>0.1</x:v>
      </x:c>
      <x:c r="G41" s="7" t="n">
        <x:f>ROUNDUP(E41*(1+F41),0)</x:f>
        <x:v>5</x:v>
      </x:c>
      <x:c r="H41" s="7" t="str">
        <x:v>UP_B053_001, UP_B053_002, UP_B053_003, UP_B053_004</x:v>
      </x:c>
      <x:c r="I41" s="7" t="str">
        <x:v>按原v5零件计数移植；新布板新增保护网路另计</x:v>
      </x:c>
      <x:c r="J41" s="7" t="str">
        <x:v>UNKNOWN</x:v>
      </x:c>
      <x:c r="K41" s="7" t="str">
        <x:v>https://github.com/loverlike1216/SonoField-FPGA/blob/main/v5/hardware/bom/BOM_MASTER.csv</x:v>
      </x:c>
      <x:c r="L41" s="7" t="str">
        <x:v>AUTHORIZED_VENDOR_NOT_SELECTED</x:v>
      </x:c>
      <x:c r="M41" s="7" t="str">
        <x:v>NOT_APPROVED_FOR_PROCUREMENT</x:v>
      </x:c>
      <x:c r="N41" s="7" t="str">
        <x:v>UNVERIFIED</x:v>
      </x:c>
      <x:c r="O41" s="7" t="str">
        <x:v>UNKNOWN</x:v>
      </x:c>
      <x:c r="P41" s="7" t="str">
        <x:v>Inherited candidate quantity; netlist/thermal review pending</x:v>
      </x:c>
    </x:row>
    <x:row r="42" ht="252" customHeight="1">
      <x:c r="A42" s="7" t="str">
        <x:v>B-054</x:v>
      </x:c>
      <x:c r="B42" s="7" t="str">
        <x:v>100kΩ 1%</x:v>
      </x:c>
      <x:c r="C42" s="7" t="str">
        <x:v>100kΩ上拉/下拉</x:v>
      </x:c>
      <x:c r="D42" s="7" t="str">
        <x:v>0603; pins UNKNOWN</x:v>
      </x:c>
      <x:c r="E42" s="7" t="n">
        <x:v>89</x:v>
      </x:c>
      <x:c r="F42" s="10" t="n">
        <x:v>0.1</x:v>
      </x:c>
      <x:c r="G42" s="7" t="n">
        <x:f>ROUNDUP(E42*(1+F42),0)</x:f>
        <x:v>98</x:v>
      </x:c>
      <x:c r="H42" s="7" t="str">
        <x:v>UP_B054_001, UP_B054_002, UP_B054_003, UP_B054_004, UP_B054_005, UP_B054_006, UP_B054_007, UP_B054_008, UP_B054_009, UP_B054_010, UP_B054_011, UP_B054_012, UP_B054_013, UP_B054_014, UP_B054_015, UP_B054_016, UP_B054_017, UP_B054_018, UP_B054_019, UP_B054_020, UP_B054_021, UP_B054_022, UP_B054_023, UP_B054_024, UP_B054_025, UP_B054_026, UP_B054_027, UP_B054_028, UP_B054_029, UP_B054_030, UP_B054_031, UP_B054_032, UP_B054_033, UP_B054_034, UP_B054_035, UP_B054_036, UP_B054_037, UP_B054_038, UP_B054_039, UP_B054_040, UP_B054_041, UP_B054_042, UP_B054_043, UP_B054_044, UP_B054_045, UP_B054_046, UP_B054_047, UP_B054_048, UP_B054_049, UP_B054_050, UP_B054_051, UP_B054_052, UP_B054_053, UP_B054_054, UP_B054_055, UP_B054_056, UP_B054_057, UP_B054_058, UP_B054_059, UP_B054_060, UP_B054_061, UP_B054_062, UP_B054_063, UP_B054_064, UP_B054_065, UP_B054_066, UP_B054_067, UP_B054_068, UP_B054_069, UP_B054_070, UP_B054_071, UP_B054_072, UP_B054_073, UP_B054_074, UP_B054_075, UP_B054_076, UP_B054_077, UP_B054_078, UP_B054_079, UP_B054_080, UP_B054_081, UP_B054_082, UP_B054_083, UP_B054_084, UP_B054_085, UP_B054_086, UP_B054_087, UP_B054_088, UP_B054_089</x:v>
      </x:c>
      <x:c r="I42" s="7" t="str">
        <x:v>按原v5零件计数移植；新布板新增保护网路另计</x:v>
      </x:c>
      <x:c r="J42" s="7" t="str">
        <x:v>UNKNOWN</x:v>
      </x:c>
      <x:c r="K42" s="7" t="str">
        <x:v>https://github.com/loverlike1216/SonoField-FPGA/blob/main/v5/hardware/bom/BOM_MASTER.csv</x:v>
      </x:c>
      <x:c r="L42" s="7" t="str">
        <x:v>AUTHORIZED_VENDOR_NOT_SELECTED</x:v>
      </x:c>
      <x:c r="M42" s="7" t="str">
        <x:v>NOT_APPROVED_FOR_PROCUREMENT</x:v>
      </x:c>
      <x:c r="N42" s="7" t="str">
        <x:v>UNVERIFIED</x:v>
      </x:c>
      <x:c r="O42" s="7" t="str">
        <x:v>UNKNOWN</x:v>
      </x:c>
      <x:c r="P42" s="7" t="str">
        <x:v>Inherited candidate quantity; netlist/thermal review pending</x:v>
      </x:c>
    </x:row>
    <x:row r="43" ht="76" customHeight="1">
      <x:c r="A43" s="7" t="str">
        <x:v>B-055</x:v>
      </x:c>
      <x:c r="B43" s="7" t="str">
        <x:v>10kΩ 1%</x:v>
      </x:c>
      <x:c r="C43" s="7" t="str">
        <x:v>10kΩ上拉/下拉</x:v>
      </x:c>
      <x:c r="D43" s="7" t="str">
        <x:v>0603; pins UNKNOWN</x:v>
      </x:c>
      <x:c r="E43" s="7" t="n">
        <x:v>3</x:v>
      </x:c>
      <x:c r="F43" s="10" t="n">
        <x:v>0.1</x:v>
      </x:c>
      <x:c r="G43" s="7" t="n">
        <x:f>ROUNDUP(E43*(1+F43),0)</x:f>
        <x:v>4</x:v>
      </x:c>
      <x:c r="H43" s="7" t="str">
        <x:v>UP_B055_001, UP_B055_002, UP_B055_003</x:v>
      </x:c>
      <x:c r="I43" s="7" t="str">
        <x:v>按原v5零件计数移植；新布板新增保护网路另计</x:v>
      </x:c>
      <x:c r="J43" s="7" t="str">
        <x:v>UNKNOWN</x:v>
      </x:c>
      <x:c r="K43" s="7" t="str">
        <x:v>https://github.com/loverlike1216/SonoField-FPGA/blob/main/v5/hardware/bom/BOM_MASTER.csv</x:v>
      </x:c>
      <x:c r="L43" s="7" t="str">
        <x:v>AUTHORIZED_VENDOR_NOT_SELECTED</x:v>
      </x:c>
      <x:c r="M43" s="7" t="str">
        <x:v>NOT_APPROVED_FOR_PROCUREMENT</x:v>
      </x:c>
      <x:c r="N43" s="7" t="str">
        <x:v>UNVERIFIED</x:v>
      </x:c>
      <x:c r="O43" s="7" t="str">
        <x:v>UNKNOWN</x:v>
      </x:c>
      <x:c r="P43" s="7" t="str">
        <x:v>Inherited candidate quantity; netlist/thermal review pending</x:v>
      </x:c>
    </x:row>
    <x:row r="44" ht="76" customHeight="1">
      <x:c r="A44" s="7" t="str">
        <x:v>B-056</x:v>
      </x:c>
      <x:c r="B44" s="7" t="str">
        <x:v>4.7kΩ 1%</x:v>
      </x:c>
      <x:c r="C44" s="7" t="str">
        <x:v>4.7kΩ I²C上拉</x:v>
      </x:c>
      <x:c r="D44" s="7" t="str">
        <x:v>0603; pins UNKNOWN</x:v>
      </x:c>
      <x:c r="E44" s="7" t="n">
        <x:v>2</x:v>
      </x:c>
      <x:c r="F44" s="10" t="n">
        <x:v>0.1</x:v>
      </x:c>
      <x:c r="G44" s="7" t="n">
        <x:f>ROUNDUP(E44*(1+F44),0)</x:f>
        <x:v>3</x:v>
      </x:c>
      <x:c r="H44" s="7" t="str">
        <x:v>UP_B056_001, UP_B056_002</x:v>
      </x:c>
      <x:c r="I44" s="7" t="str">
        <x:v>按原v5零件计数移植；新布板新增保护网路另计</x:v>
      </x:c>
      <x:c r="J44" s="7" t="str">
        <x:v>UNKNOWN</x:v>
      </x:c>
      <x:c r="K44" s="7" t="str">
        <x:v>https://github.com/loverlike1216/SonoField-FPGA/blob/main/v5/hardware/bom/BOM_MASTER.csv</x:v>
      </x:c>
      <x:c r="L44" s="7" t="str">
        <x:v>AUTHORIZED_VENDOR_NOT_SELECTED</x:v>
      </x:c>
      <x:c r="M44" s="7" t="str">
        <x:v>NOT_APPROVED_FOR_PROCUREMENT</x:v>
      </x:c>
      <x:c r="N44" s="7" t="str">
        <x:v>UNVERIFIED</x:v>
      </x:c>
      <x:c r="O44" s="7" t="str">
        <x:v>UNKNOWN</x:v>
      </x:c>
      <x:c r="P44" s="7" t="str">
        <x:v>Inherited candidate quantity; netlist/thermal review pending</x:v>
      </x:c>
    </x:row>
    <x:row r="45" ht="76" customHeight="1">
      <x:c r="A45" s="7" t="str">
        <x:v>B-057</x:v>
      </x:c>
      <x:c r="B45" s="7" t="str">
        <x:v>1kΩ 1%</x:v>
      </x:c>
      <x:c r="C45" s="7" t="str">
        <x:v>1kΩ RX串联</x:v>
      </x:c>
      <x:c r="D45" s="7" t="str">
        <x:v>0603; pins UNKNOWN</x:v>
      </x:c>
      <x:c r="E45" s="7" t="n">
        <x:v>8</x:v>
      </x:c>
      <x:c r="F45" s="10" t="n">
        <x:v>0.1</x:v>
      </x:c>
      <x:c r="G45" s="7" t="n">
        <x:f>ROUNDUP(E45*(1+F45),0)</x:f>
        <x:v>9</x:v>
      </x:c>
      <x:c r="H45" s="7" t="str">
        <x:v>UP_B057_001, UP_B057_002, UP_B057_003, UP_B057_004, UP_B057_005, UP_B057_006, UP_B057_007, UP_B057_008</x:v>
      </x:c>
      <x:c r="I45" s="7" t="str">
        <x:v>按原v5零件计数移植；新布板新增保护网路另计</x:v>
      </x:c>
      <x:c r="J45" s="7" t="str">
        <x:v>UNKNOWN</x:v>
      </x:c>
      <x:c r="K45" s="7" t="str">
        <x:v>https://github.com/loverlike1216/SonoField-FPGA/blob/main/v5/hardware/bom/BOM_MASTER.csv</x:v>
      </x:c>
      <x:c r="L45" s="7" t="str">
        <x:v>AUTHORIZED_VENDOR_NOT_SELECTED</x:v>
      </x:c>
      <x:c r="M45" s="7" t="str">
        <x:v>NOT_APPROVED_FOR_PROCUREMENT</x:v>
      </x:c>
      <x:c r="N45" s="7" t="str">
        <x:v>UNVERIFIED</x:v>
      </x:c>
      <x:c r="O45" s="7" t="str">
        <x:v>UNKNOWN</x:v>
      </x:c>
      <x:c r="P45" s="7" t="str">
        <x:v>Inherited candidate quantity; netlist/thermal review pending</x:v>
      </x:c>
    </x:row>
    <x:row r="46" ht="76" customHeight="1">
      <x:c r="A46" s="7" t="str">
        <x:v>B-058</x:v>
      </x:c>
      <x:c r="B46" s="7" t="str">
        <x:v>47Ω 1%</x:v>
      </x:c>
      <x:c r="C46" s="7" t="str">
        <x:v>47Ω模拟阻尼</x:v>
      </x:c>
      <x:c r="D46" s="7" t="str">
        <x:v>0603; pins UNKNOWN</x:v>
      </x:c>
      <x:c r="E46" s="7" t="n">
        <x:v>4</x:v>
      </x:c>
      <x:c r="F46" s="10" t="n">
        <x:v>0.1</x:v>
      </x:c>
      <x:c r="G46" s="7" t="n">
        <x:f>ROUNDUP(E46*(1+F46),0)</x:f>
        <x:v>5</x:v>
      </x:c>
      <x:c r="H46" s="7" t="str">
        <x:v>UP_B058_001, UP_B058_002, UP_B058_003, UP_B058_004</x:v>
      </x:c>
      <x:c r="I46" s="7" t="str">
        <x:v>按原v5零件计数移植；新布板新增保护网路另计</x:v>
      </x:c>
      <x:c r="J46" s="7" t="str">
        <x:v>UNKNOWN</x:v>
      </x:c>
      <x:c r="K46" s="7" t="str">
        <x:v>https://github.com/loverlike1216/SonoField-FPGA/blob/main/v5/hardware/bom/BOM_MASTER.csv</x:v>
      </x:c>
      <x:c r="L46" s="7" t="str">
        <x:v>AUTHORIZED_VENDOR_NOT_SELECTED</x:v>
      </x:c>
      <x:c r="M46" s="7" t="str">
        <x:v>NOT_APPROVED_FOR_PROCUREMENT</x:v>
      </x:c>
      <x:c r="N46" s="7" t="str">
        <x:v>UNVERIFIED</x:v>
      </x:c>
      <x:c r="O46" s="7" t="str">
        <x:v>UNKNOWN</x:v>
      </x:c>
      <x:c r="P46" s="7" t="str">
        <x:v>Inherited candidate quantity; netlist/thermal review pending</x:v>
      </x:c>
    </x:row>
    <x:row r="47" ht="76" customHeight="1">
      <x:c r="A47" s="7" t="str">
        <x:v>B-059</x:v>
      </x:c>
      <x:c r="B47" s="7" t="str">
        <x:v>33Ω 1%</x:v>
      </x:c>
      <x:c r="C47" s="7" t="str">
        <x:v>33Ω高速阻尼</x:v>
      </x:c>
      <x:c r="D47" s="7" t="str">
        <x:v>0603; pins UNKNOWN</x:v>
      </x:c>
      <x:c r="E47" s="7" t="n">
        <x:v>8</x:v>
      </x:c>
      <x:c r="F47" s="10" t="n">
        <x:v>0.1</x:v>
      </x:c>
      <x:c r="G47" s="7" t="n">
        <x:f>ROUNDUP(E47*(1+F47),0)</x:f>
        <x:v>9</x:v>
      </x:c>
      <x:c r="H47" s="7" t="str">
        <x:v>UP_B059_001, UP_B059_002, UP_B059_003, UP_B059_004, UP_B059_005, UP_B059_006, UP_B059_007, UP_B059_008</x:v>
      </x:c>
      <x:c r="I47" s="7" t="str">
        <x:v>按原v5零件计数移植；新布板新增保护网路另计</x:v>
      </x:c>
      <x:c r="J47" s="7" t="str">
        <x:v>UNKNOWN</x:v>
      </x:c>
      <x:c r="K47" s="7" t="str">
        <x:v>https://github.com/loverlike1216/SonoField-FPGA/blob/main/v5/hardware/bom/BOM_MASTER.csv</x:v>
      </x:c>
      <x:c r="L47" s="7" t="str">
        <x:v>AUTHORIZED_VENDOR_NOT_SELECTED</x:v>
      </x:c>
      <x:c r="M47" s="7" t="str">
        <x:v>NOT_APPROVED_FOR_PROCUREMENT</x:v>
      </x:c>
      <x:c r="N47" s="7" t="str">
        <x:v>UNVERIFIED</x:v>
      </x:c>
      <x:c r="O47" s="7" t="str">
        <x:v>UNKNOWN</x:v>
      </x:c>
      <x:c r="P47" s="7" t="str">
        <x:v>Inherited candidate quantity; netlist/thermal review pending</x:v>
      </x:c>
    </x:row>
    <x:row r="48" ht="76" customHeight="1">
      <x:c r="A48" s="7" t="str">
        <x:v>B-060</x:v>
      </x:c>
      <x:c r="B48" s="7" t="str">
        <x:v>10Ω 1%</x:v>
      </x:c>
      <x:c r="C48" s="7" t="str">
        <x:v>10Ω监测滤波</x:v>
      </x:c>
      <x:c r="D48" s="7" t="str">
        <x:v>0603; pins UNKNOWN</x:v>
      </x:c>
      <x:c r="E48" s="7" t="n">
        <x:v>2</x:v>
      </x:c>
      <x:c r="F48" s="10" t="n">
        <x:v>0.1</x:v>
      </x:c>
      <x:c r="G48" s="7" t="n">
        <x:f>ROUNDUP(E48*(1+F48),0)</x:f>
        <x:v>3</x:v>
      </x:c>
      <x:c r="H48" s="7" t="str">
        <x:v>UP_B060_001, UP_B060_002</x:v>
      </x:c>
      <x:c r="I48" s="7" t="str">
        <x:v>按原v5零件计数移植；新布板新增保护网路另计</x:v>
      </x:c>
      <x:c r="J48" s="7" t="str">
        <x:v>UNKNOWN</x:v>
      </x:c>
      <x:c r="K48" s="7" t="str">
        <x:v>https://github.com/loverlike1216/SonoField-FPGA/blob/main/v5/hardware/bom/BOM_MASTER.csv</x:v>
      </x:c>
      <x:c r="L48" s="7" t="str">
        <x:v>AUTHORIZED_VENDOR_NOT_SELECTED</x:v>
      </x:c>
      <x:c r="M48" s="7" t="str">
        <x:v>NOT_APPROVED_FOR_PROCUREMENT</x:v>
      </x:c>
      <x:c r="N48" s="7" t="str">
        <x:v>UNVERIFIED</x:v>
      </x:c>
      <x:c r="O48" s="7" t="str">
        <x:v>UNKNOWN</x:v>
      </x:c>
      <x:c r="P48" s="7" t="str">
        <x:v>Inherited candidate quantity; netlist/thermal review pending</x:v>
      </x:c>
    </x:row>
    <x:row r="49" ht="204" customHeight="1">
      <x:c r="A49" s="7" t="str">
        <x:v>B-061</x:v>
      </x:c>
      <x:c r="B49" s="7" t="str">
        <x:v>0Ω 0603</x:v>
      </x:c>
      <x:c r="C49" s="7" t="str">
        <x:v>0Ω通道选择跳线</x:v>
      </x:c>
      <x:c r="D49" s="7" t="str">
        <x:v>0603; pins UNKNOWN</x:v>
      </x:c>
      <x:c r="E49" s="7" t="n">
        <x:v>68</x:v>
      </x:c>
      <x:c r="F49" s="10" t="n">
        <x:v>0.1</x:v>
      </x:c>
      <x:c r="G49" s="7" t="n">
        <x:f>ROUNDUP(E49*(1+F49),0)</x:f>
        <x:v>75</x:v>
      </x:c>
      <x:c r="H49" s="7" t="str">
        <x:v>UP_B061_001, UP_B061_002, UP_B061_003, UP_B061_004, UP_B061_005, UP_B061_006, UP_B061_007, UP_B061_008, UP_B061_009, UP_B061_010, UP_B061_011, UP_B061_012, UP_B061_013, UP_B061_014, UP_B061_015, UP_B061_016, UP_B061_017, UP_B061_018, UP_B061_019, UP_B061_020, UP_B061_021, UP_B061_022, UP_B061_023, UP_B061_024, UP_B061_025, UP_B061_026, UP_B061_027, UP_B061_028, UP_B061_029, UP_B061_030, UP_B061_031, UP_B061_032, UP_B061_033, UP_B061_034, UP_B061_035, UP_B061_036, UP_B061_037, UP_B061_038, UP_B061_039, UP_B061_040, UP_B061_041, UP_B061_042, UP_B061_043, UP_B061_044, UP_B061_045, UP_B061_046, UP_B061_047, UP_B061_048, UP_B061_049, UP_B061_050, UP_B061_051, UP_B061_052, UP_B061_053, UP_B061_054, UP_B061_055, UP_B061_056, UP_B061_057, UP_B061_058, UP_B061_059, UP_B061_060, UP_B061_061, UP_B061_062, UP_B061_063, UP_B061_064, UP_B061_065, UP_B061_066, UP_B061_067, UP_B061_068</x:v>
      </x:c>
      <x:c r="I49" s="7" t="str">
        <x:v>按原v5零件计数移植；新布板新增保护网路另计</x:v>
      </x:c>
      <x:c r="J49" s="7" t="str">
        <x:v>UNKNOWN</x:v>
      </x:c>
      <x:c r="K49" s="7" t="str">
        <x:v>https://github.com/loverlike1216/SonoField-FPGA/blob/main/v5/hardware/bom/BOM_MASTER.csv</x:v>
      </x:c>
      <x:c r="L49" s="7" t="str">
        <x:v>AUTHORIZED_VENDOR_NOT_SELECTED</x:v>
      </x:c>
      <x:c r="M49" s="7" t="str">
        <x:v>NOT_APPROVED_FOR_PROCUREMENT</x:v>
      </x:c>
      <x:c r="N49" s="7" t="str">
        <x:v>UNVERIFIED</x:v>
      </x:c>
      <x:c r="O49" s="7" t="str">
        <x:v>UNKNOWN</x:v>
      </x:c>
      <x:c r="P49" s="7" t="str">
        <x:v>Inherited candidate quantity; netlist/thermal review pending</x:v>
      </x:c>
    </x:row>
    <x:row r="50" ht="76" customHeight="1">
      <x:c r="A50" s="7" t="str">
        <x:v>B-062</x:v>
      </x:c>
      <x:c r="B50" s="7" t="str">
        <x:v>1.65kΩ 1%</x:v>
      </x:c>
      <x:c r="C50" s="7" t="str">
        <x:v>1.65kΩ限流编程</x:v>
      </x:c>
      <x:c r="D50" s="7" t="str">
        <x:v>0603; pins UNKNOWN</x:v>
      </x:c>
      <x:c r="E50" s="7" t="n">
        <x:v>1</x:v>
      </x:c>
      <x:c r="F50" s="10" t="n">
        <x:v>0.1</x:v>
      </x:c>
      <x:c r="G50" s="7" t="n">
        <x:f>ROUNDUP(E50*(1+F50),0)</x:f>
        <x:v>2</x:v>
      </x:c>
      <x:c r="H50" s="7" t="str">
        <x:v>UP_B062_001</x:v>
      </x:c>
      <x:c r="I50" s="7" t="str">
        <x:v>1.65kΩ→约2.02A标称；不是5.5A</x:v>
      </x:c>
      <x:c r="J50" s="7" t="str">
        <x:v>UNKNOWN</x:v>
      </x:c>
      <x:c r="K50" s="7" t="str">
        <x:v>https://github.com/loverlike1216/SonoField-FPGA/blob/main/v5/hardware/bom/BOM_MASTER.csv</x:v>
      </x:c>
      <x:c r="L50" s="7" t="str">
        <x:v>AUTHORIZED_VENDOR_NOT_SELECTED</x:v>
      </x:c>
      <x:c r="M50" s="7" t="str">
        <x:v>NOT_APPROVED_FOR_PROCUREMENT</x:v>
      </x:c>
      <x:c r="N50" s="7" t="str">
        <x:v>UNVERIFIED</x:v>
      </x:c>
      <x:c r="O50" s="7" t="str">
        <x:v>UNKNOWN</x:v>
      </x:c>
      <x:c r="P50" s="7" t="str">
        <x:v>Inherited candidate quantity; netlist/thermal review pending</x:v>
      </x:c>
    </x:row>
    <x:row r="51" ht="76" customHeight="1">
      <x:c r="A51" s="7" t="str">
        <x:v>B-063</x:v>
      </x:c>
      <x:c r="B51" s="7" t="str">
        <x:v>1.37MΩ 1%</x:v>
      </x:c>
      <x:c r="C51" s="7" t="str">
        <x:v>1.37MΩ过压编程</x:v>
      </x:c>
      <x:c r="D51" s="7" t="str">
        <x:v>0603; pins UNKNOWN</x:v>
      </x:c>
      <x:c r="E51" s="7" t="n">
        <x:v>1</x:v>
      </x:c>
      <x:c r="F51" s="10" t="n">
        <x:v>0.1</x:v>
      </x:c>
      <x:c r="G51" s="7" t="n">
        <x:f>ROUNDUP(E51*(1+F51),0)</x:f>
        <x:v>2</x:v>
      </x:c>
      <x:c r="H51" s="7" t="str">
        <x:v>UP_B063_001</x:v>
      </x:c>
      <x:c r="I51" s="7" t="str">
        <x:v>按原v5零件计数移植；新布板新增保护网路另计</x:v>
      </x:c>
      <x:c r="J51" s="7" t="str">
        <x:v>UNKNOWN</x:v>
      </x:c>
      <x:c r="K51" s="7" t="str">
        <x:v>https://github.com/loverlike1216/SonoField-FPGA/blob/main/v5/hardware/bom/BOM_MASTER.csv</x:v>
      </x:c>
      <x:c r="L51" s="7" t="str">
        <x:v>AUTHORIZED_VENDOR_NOT_SELECTED</x:v>
      </x:c>
      <x:c r="M51" s="7" t="str">
        <x:v>NOT_APPROVED_FOR_PROCUREMENT</x:v>
      </x:c>
      <x:c r="N51" s="7" t="str">
        <x:v>UNVERIFIED</x:v>
      </x:c>
      <x:c r="O51" s="7" t="str">
        <x:v>UNKNOWN</x:v>
      </x:c>
      <x:c r="P51" s="7" t="str">
        <x:v>Inherited candidate quantity; netlist/thermal review pending</x:v>
      </x:c>
    </x:row>
    <x:row r="52" ht="76" customHeight="1">
      <x:c r="A52" s="7" t="str">
        <x:v>B-064</x:v>
      </x:c>
      <x:c r="B52" s="7" t="str">
        <x:v>590kΩ 1%</x:v>
      </x:c>
      <x:c r="C52" s="7" t="str">
        <x:v>590kΩ反馈</x:v>
      </x:c>
      <x:c r="D52" s="7" t="str">
        <x:v>0603; pins UNKNOWN</x:v>
      </x:c>
      <x:c r="E52" s="7" t="n">
        <x:v>1</x:v>
      </x:c>
      <x:c r="F52" s="10" t="n">
        <x:v>0.1</x:v>
      </x:c>
      <x:c r="G52" s="7" t="n">
        <x:f>ROUNDUP(E52*(1+F52),0)</x:f>
        <x:v>2</x:v>
      </x:c>
      <x:c r="H52" s="7" t="str">
        <x:v>UP_B064_001</x:v>
      </x:c>
      <x:c r="I52" s="7" t="str">
        <x:v>按原v5零件计数移植；新布板新增保护网路另计</x:v>
      </x:c>
      <x:c r="J52" s="7" t="str">
        <x:v>UNKNOWN</x:v>
      </x:c>
      <x:c r="K52" s="7" t="str">
        <x:v>https://github.com/loverlike1216/SonoField-FPGA/blob/main/v5/hardware/bom/BOM_MASTER.csv</x:v>
      </x:c>
      <x:c r="L52" s="7" t="str">
        <x:v>AUTHORIZED_VENDOR_NOT_SELECTED</x:v>
      </x:c>
      <x:c r="M52" s="7" t="str">
        <x:v>NOT_APPROVED_FOR_PROCUREMENT</x:v>
      </x:c>
      <x:c r="N52" s="7" t="str">
        <x:v>UNVERIFIED</x:v>
      </x:c>
      <x:c r="O52" s="7" t="str">
        <x:v>UNKNOWN</x:v>
      </x:c>
      <x:c r="P52" s="7" t="str">
        <x:v>Inherited candidate quantity; netlist/thermal review pending</x:v>
      </x:c>
    </x:row>
    <x:row r="53" ht="76" customHeight="1">
      <x:c r="A53" s="7" t="str">
        <x:v>B-065</x:v>
      </x:c>
      <x:c r="B53" s="7" t="str">
        <x:v>100kΩ 0.1%</x:v>
      </x:c>
      <x:c r="C53" s="7" t="str">
        <x:v>100kΩ高精度反馈</x:v>
      </x:c>
      <x:c r="D53" s="7" t="str">
        <x:v>0603; pins UNKNOWN</x:v>
      </x:c>
      <x:c r="E53" s="7" t="n">
        <x:v>4</x:v>
      </x:c>
      <x:c r="F53" s="10" t="n">
        <x:v>0.1</x:v>
      </x:c>
      <x:c r="G53" s="7" t="n">
        <x:f>ROUNDUP(E53*(1+F53),0)</x:f>
        <x:v>5</x:v>
      </x:c>
      <x:c r="H53" s="7" t="str">
        <x:v>UP_B065_001, UP_B065_002, UP_B065_003, UP_B065_004</x:v>
      </x:c>
      <x:c r="I53" s="7" t="str">
        <x:v>按原v5零件计数移植；新布板新增保护网路另计</x:v>
      </x:c>
      <x:c r="J53" s="7" t="str">
        <x:v>UNKNOWN</x:v>
      </x:c>
      <x:c r="K53" s="7" t="str">
        <x:v>https://github.com/loverlike1216/SonoField-FPGA/blob/main/v5/hardware/bom/BOM_MASTER.csv</x:v>
      </x:c>
      <x:c r="L53" s="7" t="str">
        <x:v>AUTHORIZED_VENDOR_NOT_SELECTED</x:v>
      </x:c>
      <x:c r="M53" s="7" t="str">
        <x:v>NOT_APPROVED_FOR_PROCUREMENT</x:v>
      </x:c>
      <x:c r="N53" s="7" t="str">
        <x:v>UNVERIFIED</x:v>
      </x:c>
      <x:c r="O53" s="7" t="str">
        <x:v>UNKNOWN</x:v>
      </x:c>
      <x:c r="P53" s="7" t="str">
        <x:v>Inherited candidate quantity; netlist/thermal review pending</x:v>
      </x:c>
    </x:row>
    <x:row r="54" ht="76" customHeight="1">
      <x:c r="A54" s="7" t="str">
        <x:v>B-066</x:v>
      </x:c>
      <x:c r="B54" s="7" t="str">
        <x:v>10kΩ 0.1%</x:v>
      </x:c>
      <x:c r="C54" s="7" t="str">
        <x:v>10kΩ高精度反馈</x:v>
      </x:c>
      <x:c r="D54" s="7" t="str">
        <x:v>0603; pins UNKNOWN</x:v>
      </x:c>
      <x:c r="E54" s="7" t="n">
        <x:v>12</x:v>
      </x:c>
      <x:c r="F54" s="10" t="n">
        <x:v>0.1</x:v>
      </x:c>
      <x:c r="G54" s="7" t="n">
        <x:f>ROUNDUP(E54*(1+F54),0)</x:f>
        <x:v>14</x:v>
      </x:c>
      <x:c r="H54" s="7" t="str">
        <x:v>UP_B066_001, UP_B066_002, UP_B066_003, UP_B066_004, UP_B066_005, UP_B066_006, UP_B066_007, UP_B066_008, UP_B066_009, UP_B066_010, UP_B066_011, UP_B066_012</x:v>
      </x:c>
      <x:c r="I54" s="7" t="str">
        <x:v>按原v5零件计数移植；新布板新增保护网路另计</x:v>
      </x:c>
      <x:c r="J54" s="7" t="str">
        <x:v>UNKNOWN</x:v>
      </x:c>
      <x:c r="K54" s="7" t="str">
        <x:v>https://github.com/loverlike1216/SonoField-FPGA/blob/main/v5/hardware/bom/BOM_MASTER.csv</x:v>
      </x:c>
      <x:c r="L54" s="7" t="str">
        <x:v>AUTHORIZED_VENDOR_NOT_SELECTED</x:v>
      </x:c>
      <x:c r="M54" s="7" t="str">
        <x:v>NOT_APPROVED_FOR_PROCUREMENT</x:v>
      </x:c>
      <x:c r="N54" s="7" t="str">
        <x:v>UNVERIFIED</x:v>
      </x:c>
      <x:c r="O54" s="7" t="str">
        <x:v>UNKNOWN</x:v>
      </x:c>
      <x:c r="P54" s="7" t="str">
        <x:v>Inherited candidate quantity; netlist/thermal review pending</x:v>
      </x:c>
    </x:row>
    <x:row r="55" ht="76" customHeight="1">
      <x:c r="A55" s="7" t="str">
        <x:v>B-069</x:v>
      </x:c>
      <x:c r="B55" s="7" t="str">
        <x:v>130×130mm 4L 1.6mm FR4候选</x:v>
      </x:c>
      <x:c r="C55" s="7" t="str">
        <x:v>4层阵列PCB</x:v>
      </x:c>
      <x:c r="D55" s="7" t="str">
        <x:v>PCB; pins UNKNOWN</x:v>
      </x:c>
      <x:c r="E55" s="7" t="n">
        <x:v>1</x:v>
      </x:c>
      <x:c r="F55" s="10" t="n">
        <x:v>0.1</x:v>
      </x:c>
      <x:c r="G55" s="7" t="n">
        <x:f>ROUNDUP(E55*(1+F55),0)</x:f>
        <x:v>2</x:v>
      </x:c>
      <x:c r="H55" s="7" t="str">
        <x:v>UP_B069_001</x:v>
      </x:c>
      <x:c r="I55" s="7" t="str">
        <x:v>单板64 TX+4RX+驱动/AFE；空间布局受限需密度审查</x:v>
      </x:c>
      <x:c r="J55" s="7" t="str">
        <x:v>UNKNOWN</x:v>
      </x:c>
      <x:c r="K55" s="7" t="str">
        <x:v>https://jlcpcb.com</x:v>
      </x:c>
      <x:c r="L55" s="7" t="str">
        <x:v>AUTHORIZED_VENDOR_NOT_SELECTED</x:v>
      </x:c>
      <x:c r="M55" s="7" t="str">
        <x:v>NOT_APPROVED_FOR_PROCUREMENT</x:v>
      </x:c>
      <x:c r="N55" s="7" t="str">
        <x:v>UNVERIFIED</x:v>
      </x:c>
      <x:c r="O55" s="7" t="str">
        <x:v>UNKNOWN</x:v>
      </x:c>
      <x:c r="P55" s="7" t="str">
        <x:v>One shared array PCB, opposite assembly orientation; 64TX +4outsideRX, hole/clearance not released</x:v>
      </x:c>
    </x:row>
    <x:row r="56" ht="76" customHeight="1">
      <x:c r="A56" s="7" t="str">
        <x:v>PC-002</x:v>
      </x:c>
      <x:c r="B56" s="7" t="str">
        <x:v>PART_SELECTION_HOLD</x:v>
      </x:c>
      <x:c r="C56" s="7" t="str">
        <x:v>Driver hotspot independent comparator</x:v>
      </x:c>
      <x:c r="D56" s="7" t="str">
        <x:v>HOLD; pins UNKNOWN</x:v>
      </x:c>
      <x:c r="E56" s="7" t="n">
        <x:v>1</x:v>
      </x:c>
      <x:c r="F56" s="10" t="n">
        <x:v>0.1</x:v>
      </x:c>
      <x:c r="G56" s="7" t="n">
        <x:f>ROUNDUP(E56*(1+F56),0)</x:f>
        <x:v>2</x:v>
      </x:c>
      <x:c r="H56" s="7" t="str">
        <x:v>UP_PC002_001</x:v>
      </x:c>
      <x:c r="I56" s="7" t="str">
        <x:v>CANDIDATE_REVIEW_REQUIRED</x:v>
      </x:c>
      <x:c r="J56" s="7" t="str">
        <x:v>UNKNOWN</x:v>
      </x:c>
      <x:c r="K56" s="7" t="str">
        <x:v>USER_SAFETY_REQUIREMENT</x:v>
      </x:c>
      <x:c r="L56" s="7" t="str">
        <x:v>NOT_SELECTED</x:v>
      </x:c>
      <x:c r="M56" s="7" t="str">
        <x:v>NOT_APPROVED_FOR_PROCUREMENT</x:v>
      </x:c>
      <x:c r="N56" s="7" t="str">
        <x:v>UNVERIFIED</x:v>
      </x:c>
      <x:c r="O56" s="7" t="str">
        <x:v>UNKNOWN</x:v>
      </x:c>
      <x:c r="P56" s="7" t="str">
        <x:v>Electrical/thermal qualification HOLD</x:v>
      </x:c>
    </x:row>
    <x:row r="57" ht="76" customHeight="1">
      <x:c r="A57" s="7" t="str">
        <x:v>NS-001</x:v>
      </x:c>
      <x:c r="B57" s="7" t="str">
        <x:v>PART_SELECTION_HOLD</x:v>
      </x:c>
      <x:c r="C57" s="7" t="str">
        <x:v>Independent NC estop safety loop connector</x:v>
      </x:c>
      <x:c r="D57" s="7" t="str">
        <x:v>UNKNOWN; pins UNKNOWN</x:v>
      </x:c>
      <x:c r="E57" s="7" t="n">
        <x:v>1</x:v>
      </x:c>
      <x:c r="F57" s="10" t="n">
        <x:v>0.1</x:v>
      </x:c>
      <x:c r="G57" s="7" t="n">
        <x:f>ROUNDUP(E57*(1+F57),0)</x:f>
        <x:v>2</x:v>
      </x:c>
      <x:c r="H57" s="7" t="str">
        <x:v>UP_NS001_001</x:v>
      </x:c>
      <x:c r="I57" s="7" t="str">
        <x:v>LOGIC/12V_DOMAIN_REVIEW</x:v>
      </x:c>
      <x:c r="J57" s="7" t="str">
        <x:v>UNKNOWN</x:v>
      </x:c>
      <x:c r="K57" s="7" t="str">
        <x:v>Current user GateC3/D1</x:v>
      </x:c>
      <x:c r="L57" s="7" t="str">
        <x:v>NOT_SELECTED</x:v>
      </x:c>
      <x:c r="M57" s="7" t="str">
        <x:v>PROPOSED_HOLD</x:v>
      </x:c>
      <x:c r="N57" s="7" t="str">
        <x:v>UNVERIFIED</x:v>
      </x:c>
      <x:c r="O57" s="7" t="str">
        <x:v>UNKNOWN</x:v>
      </x:c>
      <x:c r="P57" s="7" t="str">
        <x:v>Power-loss/cable/unpowered/clock-stop physical injection required</x:v>
      </x:c>
    </x:row>
    <x:row r="58" ht="76" customHeight="1">
      <x:c r="A58" s="7" t="str">
        <x:v>NS-002</x:v>
      </x:c>
      <x:c r="B58" s="7" t="str">
        <x:v>PART_SELECTION_HOLD</x:v>
      </x:c>
      <x:c r="C58" s="7" t="str">
        <x:v>Independent thermal comparator and threshold network</x:v>
      </x:c>
      <x:c r="D58" s="7" t="str">
        <x:v>UNKNOWN; pins UNKNOWN</x:v>
      </x:c>
      <x:c r="E58" s="7" t="n">
        <x:v>1</x:v>
      </x:c>
      <x:c r="F58" s="10" t="n">
        <x:v>0.1</x:v>
      </x:c>
      <x:c r="G58" s="7" t="n">
        <x:f>ROUNDUP(E58*(1+F58),0)</x:f>
        <x:v>2</x:v>
      </x:c>
      <x:c r="H58" s="7" t="str">
        <x:v>UP_NS002_001</x:v>
      </x:c>
      <x:c r="I58" s="7" t="str">
        <x:v>LOGIC/12V_DOMAIN_REVIEW</x:v>
      </x:c>
      <x:c r="J58" s="7" t="str">
        <x:v>UNKNOWN</x:v>
      </x:c>
      <x:c r="K58" s="7" t="str">
        <x:v>Current user GateC3/D1</x:v>
      </x:c>
      <x:c r="L58" s="7" t="str">
        <x:v>NOT_SELECTED</x:v>
      </x:c>
      <x:c r="M58" s="7" t="str">
        <x:v>PROPOSED_HOLD</x:v>
      </x:c>
      <x:c r="N58" s="7" t="str">
        <x:v>UNVERIFIED</x:v>
      </x:c>
      <x:c r="O58" s="7" t="str">
        <x:v>UNKNOWN</x:v>
      </x:c>
      <x:c r="P58" s="7" t="str">
        <x:v>Power-loss/cable/unpowered/clock-stop physical injection required</x:v>
      </x:c>
    </x:row>
    <x:row r="59" ht="76" customHeight="1">
      <x:c r="A59" s="7" t="str">
        <x:v>NS-003</x:v>
      </x:c>
      <x:c r="B59" s="7" t="str">
        <x:v>PART_SELECTION_HOLD</x:v>
      </x:c>
      <x:c r="C59" s="7" t="str">
        <x:v>Cold-start/rearm latch and power-good AND cutoff controller</x:v>
      </x:c>
      <x:c r="D59" s="7" t="str">
        <x:v>UNKNOWN; pins UNKNOWN</x:v>
      </x:c>
      <x:c r="E59" s="7" t="n">
        <x:v>1</x:v>
      </x:c>
      <x:c r="F59" s="10" t="n">
        <x:v>0.1</x:v>
      </x:c>
      <x:c r="G59" s="7" t="n">
        <x:f>ROUNDUP(E59*(1+F59),0)</x:f>
        <x:v>2</x:v>
      </x:c>
      <x:c r="H59" s="7" t="str">
        <x:v>UP_NS003_001</x:v>
      </x:c>
      <x:c r="I59" s="7" t="str">
        <x:v>LOGIC/12V_DOMAIN_REVIEW</x:v>
      </x:c>
      <x:c r="J59" s="7" t="str">
        <x:v>UNKNOWN</x:v>
      </x:c>
      <x:c r="K59" s="7" t="str">
        <x:v>Current user GateC3/D1</x:v>
      </x:c>
      <x:c r="L59" s="7" t="str">
        <x:v>NOT_SELECTED</x:v>
      </x:c>
      <x:c r="M59" s="7" t="str">
        <x:v>PROPOSED_HOLD</x:v>
      </x:c>
      <x:c r="N59" s="7" t="str">
        <x:v>UNVERIFIED</x:v>
      </x:c>
      <x:c r="O59" s="7" t="str">
        <x:v>UNKNOWN</x:v>
      </x:c>
      <x:c r="P59" s="7" t="str">
        <x:v>Power-loss/cable/unpowered/clock-stop physical injection required</x:v>
      </x:c>
    </x:row>
    <x:row r="60" ht="76" customHeight="1">
      <x:c r="A60" s="7" t="str">
        <x:v>NS-004</x:v>
      </x:c>
      <x:c r="B60" s="7" t="str">
        <x:v>PART_SELECTION_HOLD</x:v>
      </x:c>
      <x:c r="C60" s="7" t="str">
        <x:v>Driver rail discharge/bleed and reset default-off network</x:v>
      </x:c>
      <x:c r="D60" s="7" t="str">
        <x:v>UNKNOWN; pins UNKNOWN</x:v>
      </x:c>
      <x:c r="E60" s="7" t="n">
        <x:v>1</x:v>
      </x:c>
      <x:c r="F60" s="10" t="n">
        <x:v>0.1</x:v>
      </x:c>
      <x:c r="G60" s="7" t="n">
        <x:f>ROUNDUP(E60*(1+F60),0)</x:f>
        <x:v>2</x:v>
      </x:c>
      <x:c r="H60" s="7" t="str">
        <x:v>UP_NS004_001</x:v>
      </x:c>
      <x:c r="I60" s="7" t="str">
        <x:v>LOGIC/12V_DOMAIN_REVIEW</x:v>
      </x:c>
      <x:c r="J60" s="7" t="str">
        <x:v>UNKNOWN</x:v>
      </x:c>
      <x:c r="K60" s="7" t="str">
        <x:v>Current user GateC3/D1</x:v>
      </x:c>
      <x:c r="L60" s="7" t="str">
        <x:v>NOT_SELECTED</x:v>
      </x:c>
      <x:c r="M60" s="7" t="str">
        <x:v>PROPOSED_HOLD</x:v>
      </x:c>
      <x:c r="N60" s="7" t="str">
        <x:v>UNVERIFIED</x:v>
      </x:c>
      <x:c r="O60" s="7" t="str">
        <x:v>UNKNOWN</x:v>
      </x:c>
      <x:c r="P60" s="7" t="str">
        <x:v>Power-loss/cable/unpowered/clock-stop physical injection required</x:v>
      </x:c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  <x:tableParts count="1">
    <x:tablePart xmlns:r="http://schemas.openxmlformats.org/officeDocument/2006/relationships" r:id="R9af50fb3e63a403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40" hidden="0" customWidth="1"/>
    <x:col min="4" max="4" width="46" hidden="0" customWidth="1"/>
    <x:col min="5" max="5" width="11" hidden="0" customWidth="1"/>
    <x:col min="6" max="6" width="12" hidden="0" customWidth="1"/>
    <x:col min="7" max="7" width="12" hidden="0" customWidth="1"/>
    <x:col min="8" max="8" width="70" hidden="0" customWidth="1"/>
    <x:col min="9" max="9" width="48" hidden="0" customWidth="1"/>
    <x:col min="10" max="10" width="22" hidden="0" customWidth="1"/>
    <x:col min="11" max="11" width="58" hidden="0" customWidth="1"/>
    <x:col min="12" max="12" width="28" hidden="0" customWidth="1"/>
    <x:col min="13" max="13" width="48" hidden="0" customWidth="1"/>
    <x:col min="14" max="14" width="26" hidden="0" customWidth="1"/>
    <x:col min="15" max="15" width="16" hidden="0" customWidth="1"/>
    <x:col min="16" max="16" width="9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9" t="str">
        <x:v>Lower - PROPOSED WORKING; ELECTRICAL HOLD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8" customHeight="1">
      <x:c r="A4" s="8" t="str">
        <x:v>ID</x:v>
      </x:c>
      <x:c r="B4" s="8" t="str">
        <x:v>MPN / family</x:v>
      </x:c>
      <x:c r="C4" s="8" t="str">
        <x:v>Description</x:v>
      </x:c>
      <x:c r="D4" s="8" t="str">
        <x:v>Package / pins</x:v>
      </x:c>
      <x:c r="E4" s="8" t="str">
        <x:v>Installed</x:v>
      </x:c>
      <x:c r="F4" s="8" t="str">
        <x:v>Spare fraction</x:v>
      </x:c>
      <x:c r="G4" s="8" t="str">
        <x:v>Planned qty</x:v>
      </x:c>
      <x:c r="H4" s="8" t="str">
        <x:v>References</x:v>
      </x:c>
      <x:c r="I4" s="8" t="str">
        <x:v>Supply / rating</x:v>
      </x:c>
      <x:c r="J4" s="8" t="str">
        <x:v>Current A (scope in risk)</x:v>
      </x:c>
      <x:c r="K4" s="8" t="str">
        <x:v>Source</x:v>
      </x:c>
      <x:c r="L4" s="8" t="str">
        <x:v>Supplier</x:v>
      </x:c>
      <x:c r="M4" s="8" t="str">
        <x:v>Approval</x:v>
      </x:c>
      <x:c r="N4" s="8" t="str">
        <x:v>Footprint verification</x:v>
      </x:c>
      <x:c r="O4" s="8" t="str">
        <x:v>Price CNY</x:v>
      </x:c>
      <x:c r="P4" s="8" t="str">
        <x:v>Alternative / required evidence</x:v>
      </x:c>
    </x:row>
    <x:row r="5" ht="192" customHeight="1">
      <x:c r="A5" s="7" t="str">
        <x:v>B-001</x:v>
      </x:c>
      <x:c r="B5" s="7" t="str">
        <x:v>NU40C10T-2_ORDER_CODE_PENDING_VENDOR</x:v>
      </x:c>
      <x:c r="C5" s="7" t="str">
        <x:v>40kHz 超声发射换能器</x:v>
      </x:c>
      <x:c r="D5" s="7" t="str">
        <x:v>THT2; body9.8+/-0.5mm; pitch5.0+/-0.5mm; lead0.7+/-0.1mm; pins 2</x:v>
      </x:c>
      <x:c r="E5" s="7" t="n">
        <x:v>64</x:v>
      </x:c>
      <x:c r="F5" s="10" t="n">
        <x:v>0.1</x:v>
      </x:c>
      <x:c r="G5" s="7" t="n">
        <x:f>ROUNDUP(E5*(1+F5),0)</x:f>
        <x:v>71</x:v>
      </x:c>
      <x:c r="H5" s="7" t="str">
        <x:v>DN_B001_001, DN_B001_002, DN_B001_003, DN_B001_004, DN_B001_005, DN_B001_006, DN_B001_007, DN_B001_008, DN_B001_009, DN_B001_010, DN_B001_011, DN_B001_012, DN_B001_013, DN_B001_014, DN_B001_015, DN_B001_016, DN_B001_017, DN_B001_018, DN_B001_019, DN_B001_020, DN_B001_021, DN_B001_022, DN_B001_023, DN_B001_024, DN_B001_025, DN_B001_026, DN_B001_027, DN_B001_028, DN_B001_029, DN_B001_030, DN_B001_031, DN_B001_032, DN_B001_033, DN_B001_034, DN_B001_035, DN_B001_036, DN_B001_037, DN_B001_038, DN_B001_039, DN_B001_040, DN_B001_041, DN_B001_042, DN_B001_043, DN_B001_044, DN_B001_045, DN_B001_046, DN_B001_047, DN_B001_048, DN_B001_049, DN_B001_050, DN_B001_051, DN_B001_052, DN_B001_053, DN_B001_054, DN_B001_055, DN_B001_056, DN_B001_057, DN_B001_058, DN_B001_059, DN_B001_060, DN_B001_061, DN_B001_062, DN_B001_063, DN_B001_064</x:v>
      </x:c>
      <x:c r="I5" s="7" t="str">
        <x:v>用户锁定发射器型号；供应商完整 datasheet / 焊脚尺寸尚需核实</x:v>
      </x:c>
      <x:c r="J5" s="7" t="str">
        <x:v>UNKNOWN</x:v>
      </x:c>
      <x:c r="K5" s="7" t="str">
        <x:v>USER_VENDOR_IMAGES_HASHES_IN_VENDOR_PARAMETERS.json</x:v>
      </x:c>
      <x:c r="L5" s="7" t="str">
        <x:v>AUTHORIZED_VENDOR_NOT_SELECTED</x:v>
      </x:c>
      <x:c r="M5" s="7" t="str">
        <x:v>FAMILY_APPROVED_SUFFIX_HOLD</x:v>
      </x:c>
      <x:c r="N5" s="7" t="str">
        <x:v>UNVERIFIED</x:v>
      </x:c>
      <x:c r="O5" s="7" t="str">
        <x:v>UNKNOWN</x:v>
      </x:c>
      <x:c r="P5" s="7" t="str">
        <x:v>Inherited candidate quantity; netlist/thermal review pending</x:v>
      </x:c>
    </x:row>
    <x:row r="6" ht="76" customHeight="1">
      <x:c r="A6" s="7" t="str">
        <x:v>B-002</x:v>
      </x:c>
      <x:c r="B6" s="7" t="str">
        <x:v>NU40C10R-2_CANDIDATE_EXACT_RX_MPN_HOLD</x:v>
      </x:c>
      <x:c r="C6" s="7" t="str">
        <x:v>40kHz 超声接收换能器</x:v>
      </x:c>
      <x:c r="D6" s="7" t="str">
        <x:v>THT2_CANDIDATE_VERIFY_RX_MECHANICAL; pins 2</x:v>
      </x:c>
      <x:c r="E6" s="7" t="n">
        <x:v>4</x:v>
      </x:c>
      <x:c r="F6" s="10" t="n">
        <x:v>0.1</x:v>
      </x:c>
      <x:c r="G6" s="7" t="n">
        <x:f>ROUNDUP(E6*(1+F6),0)</x:f>
        <x:v>5</x:v>
      </x:c>
      <x:c r="H6" s="7" t="str">
        <x:v>DN_B002_001, DN_B002_002, DN_B002_003, DN_B002_004</x:v>
      </x:c>
      <x:c r="I6" s="7" t="str">
        <x:v>同频匹配接收器；不得擅自把TX当RX</x:v>
      </x:c>
      <x:c r="J6" s="7" t="str">
        <x:v>UNKNOWN</x:v>
      </x:c>
      <x:c r="K6" s="7" t="str">
        <x:v>https://github.com/loverlike1216/SonoField-FPGA/tree/main/v5</x:v>
      </x:c>
      <x:c r="L6" s="7" t="str">
        <x:v>AUTHORIZED_VENDOR_NOT_SELECTED</x:v>
      </x:c>
      <x:c r="M6" s="7" t="str">
        <x:v>PROPOSED_RX_HOLD</x:v>
      </x:c>
      <x:c r="N6" s="7" t="str">
        <x:v>UNVERIFIED</x:v>
      </x:c>
      <x:c r="O6" s="7" t="str">
        <x:v>UNKNOWN</x:v>
      </x:c>
      <x:c r="P6" s="7" t="str">
        <x:v>Inherited candidate quantity; netlist/thermal review pending</x:v>
      </x:c>
    </x:row>
    <x:row r="7" ht="96" customHeight="1">
      <x:c r="A7" s="7" t="str">
        <x:v>B-003</x:v>
      </x:c>
      <x:c r="B7" s="7" t="str">
        <x:v>TC4427AEOA713</x:v>
      </x:c>
      <x:c r="C7" s="7" t="str">
        <x:v>双通道功率驱动器</x:v>
      </x:c>
      <x:c r="D7" s="7" t="str">
        <x:v>SOIC-8; pins UNKNOWN</x:v>
      </x:c>
      <x:c r="E7" s="7" t="n">
        <x:v>32</x:v>
      </x:c>
      <x:c r="F7" s="10" t="n">
        <x:v>0.1</x:v>
      </x:c>
      <x:c r="G7" s="7" t="n">
        <x:f>ROUNDUP(E7*(1+F7),0)</x:f>
        <x:v>36</x:v>
      </x:c>
      <x:c r="H7" s="7" t="str">
        <x:v>DN_B003_001, DN_B003_002, DN_B003_003, DN_B003_004, DN_B003_005, DN_B003_006, DN_B003_007, DN_B003_008, DN_B003_009, DN_B003_010, DN_B003_011, DN_B003_012, DN_B003_013, DN_B003_014, DN_B003_015, DN_B003_016, DN_B003_017, DN_B003_018, DN_B003_019, DN_B003_020, DN_B003_021, DN_B003_022, DN_B003_023, DN_B003_024, DN_B003_025, DN_B003_026, DN_B003_027, DN_B003_028, DN_B003_029, DN_B003_030, DN_B003_031, DN_B003_032</x:v>
      </x:c>
      <x:c r="I7" s="7" t="str">
        <x:v>2输出/芯片；12V首轮限流调试，不是NU40C10T额定电压</x:v>
      </x:c>
      <x:c r="J7" s="7" t="str">
        <x:v>UNKNOWN</x:v>
      </x:c>
      <x:c r="K7" s="7" t="str">
        <x:v>https://www.microchip.com/en-us/product/TC4427A</x:v>
      </x:c>
      <x:c r="L7" s="7" t="str">
        <x:v>AUTHORIZED_VENDOR_NOT_SELECTED</x:v>
      </x:c>
      <x:c r="M7" s="7" t="str">
        <x:v>NOT_APPROVED_FOR_PROCUREMENT</x:v>
      </x:c>
      <x:c r="N7" s="7" t="str">
        <x:v>UNVERIFIED</x:v>
      </x:c>
      <x:c r="O7" s="7" t="str">
        <x:v>UNKNOWN</x:v>
      </x:c>
      <x:c r="P7" s="7" t="str">
        <x:v>Inherited candidate quantity; netlist/thermal review pending</x:v>
      </x:c>
    </x:row>
    <x:row r="8" ht="76" customHeight="1">
      <x:c r="A8" s="7" t="str">
        <x:v>B-004</x:v>
      </x:c>
      <x:c r="B8" s="7" t="str">
        <x:v>SN74LVC595APWR</x:v>
      </x:c>
      <x:c r="C8" s="7" t="str">
        <x:v>8位串入并出寄存器</x:v>
      </x:c>
      <x:c r="D8" s="7" t="str">
        <x:v>TSSOP-16; pins UNKNOWN</x:v>
      </x:c>
      <x:c r="E8" s="7" t="n">
        <x:v>16</x:v>
      </x:c>
      <x:c r="F8" s="10" t="n">
        <x:v>0.1</x:v>
      </x:c>
      <x:c r="G8" s="7" t="n">
        <x:f>ROUNDUP(E8*(1+F8),0)</x:f>
        <x:v>18</x:v>
      </x:c>
      <x:c r="H8" s="7" t="str">
        <x:v>DN_B004_001, DN_B004_002, DN_B004_003, DN_B004_004, DN_B004_005, DN_B004_006, DN_B004_007, DN_B004_008, DN_B004_009, DN_B004_010, DN_B004_011, DN_B004_012, DN_B004_013, DN_B004_014, DN_B004_015, DN_B004_016</x:v>
      </x:c>
      <x:c r="I8" s="7" t="str">
        <x:v>每片4个有效输出；每侧16条独立串行lane</x:v>
      </x:c>
      <x:c r="J8" s="7" t="str">
        <x:v>UNKNOWN</x:v>
      </x:c>
      <x:c r="K8" s="7" t="str">
        <x:v>https://www.ti.com/product/SN74LVC595A</x:v>
      </x:c>
      <x:c r="L8" s="7" t="str">
        <x:v>AUTHORIZED_VENDOR_NOT_SELECTED</x:v>
      </x:c>
      <x:c r="M8" s="7" t="str">
        <x:v>NOT_APPROVED_FOR_PROCUREMENT</x:v>
      </x:c>
      <x:c r="N8" s="7" t="str">
        <x:v>UNVERIFIED</x:v>
      </x:c>
      <x:c r="O8" s="7" t="str">
        <x:v>UNKNOWN</x:v>
      </x:c>
      <x:c r="P8" s="7" t="str">
        <x:v>Inherited candidate quantity; netlist/thermal review pending</x:v>
      </x:c>
    </x:row>
    <x:row r="9" ht="76" customHeight="1">
      <x:c r="A9" s="7" t="str">
        <x:v>B-005</x:v>
      </x:c>
      <x:c r="B9" s="7" t="str">
        <x:v>SN74AXC8T245PWR</x:v>
      </x:c>
      <x:c r="C9" s="7" t="str">
        <x:v>8位双电源电平转换</x:v>
      </x:c>
      <x:c r="D9" s="7" t="str">
        <x:v>TSSOP-24; pins UNKNOWN</x:v>
      </x:c>
      <x:c r="E9" s="7" t="n">
        <x:v>4</x:v>
      </x:c>
      <x:c r="F9" s="10" t="n">
        <x:v>0.1</x:v>
      </x:c>
      <x:c r="G9" s="7" t="n">
        <x:f>ROUNDUP(E9*(1+F9),0)</x:f>
        <x:v>5</x:v>
      </x:c>
      <x:c r="H9" s="7" t="str">
        <x:v>DN_B005_001, DN_B005_002, DN_B005_003, DN_B005_004</x:v>
      </x:c>
      <x:c r="I9" s="7" t="str">
        <x:v>VCCA/VCCB均不得大于3.6V；根据VCCO放置与计算数量</x:v>
      </x:c>
      <x:c r="J9" s="7" t="str">
        <x:v>UNKNOWN</x:v>
      </x:c>
      <x:c r="K9" s="7" t="str">
        <x:v>https://www.ti.com/product/SN74AXC8T245</x:v>
      </x:c>
      <x:c r="L9" s="7" t="str">
        <x:v>AUTHORIZED_VENDOR_NOT_SELECTED</x:v>
      </x:c>
      <x:c r="M9" s="7" t="str">
        <x:v>NOT_APPROVED_FOR_PROCUREMENT</x:v>
      </x:c>
      <x:c r="N9" s="7" t="str">
        <x:v>UNVERIFIED</x:v>
      </x:c>
      <x:c r="O9" s="7" t="str">
        <x:v>UNKNOWN</x:v>
      </x:c>
      <x:c r="P9" s="7" t="str">
        <x:v>Inherited candidate quantity; netlist/thermal review pending</x:v>
      </x:c>
    </x:row>
    <x:row r="10" ht="76" customHeight="1">
      <x:c r="A10" s="7" t="str">
        <x:v>B-006</x:v>
      </x:c>
      <x:c r="B10" s="7" t="str">
        <x:v>SN74LVC244APWR</x:v>
      </x:c>
      <x:c r="C10" s="7" t="str">
        <x:v>8路时钟缓冲器</x:v>
      </x:c>
      <x:c r="D10" s="7" t="str">
        <x:v>TSSOP-20; pins UNKNOWN</x:v>
      </x:c>
      <x:c r="E10" s="7" t="n">
        <x:v>1</x:v>
      </x:c>
      <x:c r="F10" s="10" t="n">
        <x:v>0.1</x:v>
      </x:c>
      <x:c r="G10" s="7" t="n">
        <x:f>ROUNDUP(E10*(1+F10),0)</x:f>
        <x:v>2</x:v>
      </x:c>
      <x:c r="H10" s="7" t="str">
        <x:v>DN_B006_001</x:v>
      </x:c>
      <x:c r="I10" s="7" t="str">
        <x:v>每阵列1颗；4路SRCLK+4路RCLK 需负载证明</x:v>
      </x:c>
      <x:c r="J10" s="7" t="str">
        <x:v>UNKNOWN</x:v>
      </x:c>
      <x:c r="K10" s="7" t="str">
        <x:v>https://www.ti.com/product/SN74LVC244A</x:v>
      </x:c>
      <x:c r="L10" s="7" t="str">
        <x:v>AUTHORIZED_VENDOR_NOT_SELECTED</x:v>
      </x:c>
      <x:c r="M10" s="7" t="str">
        <x:v>NOT_APPROVED_FOR_PROCUREMENT</x:v>
      </x:c>
      <x:c r="N10" s="7" t="str">
        <x:v>UNVERIFIED</x:v>
      </x:c>
      <x:c r="O10" s="7" t="str">
        <x:v>UNKNOWN</x:v>
      </x:c>
      <x:c r="P10" s="7" t="str">
        <x:v>Inherited candidate quantity; netlist/thermal review pending</x:v>
      </x:c>
    </x:row>
    <x:row r="11" ht="76" customHeight="1">
      <x:c r="A11" s="7" t="str">
        <x:v>B-007</x:v>
      </x:c>
      <x:c r="B11" s="7" t="str">
        <x:v>SN74LVC1G32DBVR</x:v>
      </x:c>
      <x:c r="C11" s="7" t="str">
        <x:v>双输入OR联锁门</x:v>
      </x:c>
      <x:c r="D11" s="7" t="str">
        <x:v>SOT-23-5; pins UNKNOWN</x:v>
      </x:c>
      <x:c r="E11" s="7" t="n">
        <x:v>1</x:v>
      </x:c>
      <x:c r="F11" s="10" t="n">
        <x:v>0.1</x:v>
      </x:c>
      <x:c r="G11" s="7" t="n">
        <x:f>ROUNDUP(E11*(1+F11),0)</x:f>
        <x:v>2</x:v>
      </x:c>
      <x:c r="H11" s="7" t="str">
        <x:v>DN_B007_001</x:v>
      </x:c>
      <x:c r="I11" s="7" t="str">
        <x:v>OE fail-high 组合/拉起，逻辑需核验</x:v>
      </x:c>
      <x:c r="J11" s="7" t="str">
        <x:v>UNKNOWN</x:v>
      </x:c>
      <x:c r="K11" s="7" t="str">
        <x:v>https://www.ti.com/product/SN74LVC1G32</x:v>
      </x:c>
      <x:c r="L11" s="7" t="str">
        <x:v>AUTHORIZED_VENDOR_NOT_SELECTED</x:v>
      </x:c>
      <x:c r="M11" s="7" t="str">
        <x:v>NOT_APPROVED_FOR_PROCUREMENT</x:v>
      </x:c>
      <x:c r="N11" s="7" t="str">
        <x:v>UNVERIFIED</x:v>
      </x:c>
      <x:c r="O11" s="7" t="str">
        <x:v>UNKNOWN</x:v>
      </x:c>
      <x:c r="P11" s="7" t="str">
        <x:v>Inherited candidate quantity; netlist/thermal review pending</x:v>
      </x:c>
    </x:row>
    <x:row r="12" ht="76" customHeight="1">
      <x:c r="A12" s="7" t="str">
        <x:v>B-008</x:v>
      </x:c>
      <x:c r="B12" s="7" t="str">
        <x:v>TLV803 / TPS3839 类（需定料）</x:v>
      </x:c>
      <x:c r="C12" s="7" t="str">
        <x:v>独立上电复位/欠压检测</x:v>
      </x:c>
      <x:c r="D12" s="7" t="str">
        <x:v>SOT-23 TBD; pins UNKNOWN</x:v>
      </x:c>
      <x:c r="E12" s="7" t="n">
        <x:v>1</x:v>
      </x:c>
      <x:c r="F12" s="10" t="n">
        <x:v>0.1</x:v>
      </x:c>
      <x:c r="G12" s="7" t="n">
        <x:f>ROUNDUP(E12*(1+F12),0)</x:f>
        <x:v>2</x:v>
      </x:c>
      <x:c r="H12" s="7" t="str">
        <x:v>DN_B008_001</x:v>
      </x:c>
      <x:c r="I12" s="7" t="str">
        <x:v>监测各板本地3.3V；独立硬件复位/禁能</x:v>
      </x:c>
      <x:c r="J12" s="7" t="str">
        <x:v>UNKNOWN</x:v>
      </x:c>
      <x:c r="K12" s="7" t="str">
        <x:v>https://www.ti.com/product/TPS3839</x:v>
      </x:c>
      <x:c r="L12" s="7" t="str">
        <x:v>AUTHORIZED_VENDOR_NOT_SELECTED</x:v>
      </x:c>
      <x:c r="M12" s="7" t="str">
        <x:v>NOT_APPROVED_FOR_PROCUREMENT</x:v>
      </x:c>
      <x:c r="N12" s="7" t="str">
        <x:v>UNVERIFIED</x:v>
      </x:c>
      <x:c r="O12" s="7" t="str">
        <x:v>UNKNOWN</x:v>
      </x:c>
      <x:c r="P12" s="7" t="str">
        <x:v>Inherited candidate quantity; netlist/thermal review pending</x:v>
      </x:c>
    </x:row>
    <x:row r="13" ht="76" customHeight="1">
      <x:c r="A13" s="7" t="str">
        <x:v>B-009</x:v>
      </x:c>
      <x:c r="B13" s="7" t="str">
        <x:v>TPS3430 类（需定料）</x:v>
      </x:c>
      <x:c r="C13" s="7" t="str">
        <x:v>硬件失联看门狗</x:v>
      </x:c>
      <x:c r="D13" s="7" t="str">
        <x:v>TBD; pins UNKNOWN</x:v>
      </x:c>
      <x:c r="E13" s="7" t="n">
        <x:v>1</x:v>
      </x:c>
      <x:c r="F13" s="10" t="n">
        <x:v>0.1</x:v>
      </x:c>
      <x:c r="G13" s="7" t="n">
        <x:f>ROUNDUP(E13*(1+F13),0)</x:f>
        <x:v>2</x:v>
      </x:c>
      <x:c r="H13" s="7" t="str">
        <x:v>DN_B009_001</x:v>
      </x:c>
      <x:c r="I13" s="7" t="str">
        <x:v>EN必须由本地心跳与PGOOD共同允许；不可仅FPGA软件控制</x:v>
      </x:c>
      <x:c r="J13" s="7" t="str">
        <x:v>UNKNOWN</x:v>
      </x:c>
      <x:c r="K13" s="7" t="str">
        <x:v>https://www.ti.com/product/TPS3430</x:v>
      </x:c>
      <x:c r="L13" s="7" t="str">
        <x:v>AUTHORIZED_VENDOR_NOT_SELECTED</x:v>
      </x:c>
      <x:c r="M13" s="7" t="str">
        <x:v>NOT_APPROVED_FOR_PROCUREMENT</x:v>
      </x:c>
      <x:c r="N13" s="7" t="str">
        <x:v>UNVERIFIED</x:v>
      </x:c>
      <x:c r="O13" s="7" t="str">
        <x:v>UNKNOWN</x:v>
      </x:c>
      <x:c r="P13" s="7" t="str">
        <x:v>Inherited candidate quantity; netlist/thermal review pending</x:v>
      </x:c>
    </x:row>
    <x:row r="14" ht="76" customHeight="1">
      <x:c r="A14" s="7" t="str">
        <x:v>B-010</x:v>
      </x:c>
      <x:c r="B14" s="7" t="str">
        <x:v>TMUX1574PWR</x:v>
      </x:c>
      <x:c r="C14" s="7" t="str">
        <x:v>4通道SPDT切换开关</x:v>
      </x:c>
      <x:c r="D14" s="7" t="str">
        <x:v>TSSOP-16; pins UNKNOWN</x:v>
      </x:c>
      <x:c r="E14" s="7" t="n">
        <x:v>1</x:v>
      </x:c>
      <x:c r="F14" s="10" t="n">
        <x:v>0.1</x:v>
      </x:c>
      <x:c r="G14" s="7" t="n">
        <x:f>ROUNDUP(E14*(1+F14),0)</x:f>
        <x:v>2</x:v>
      </x:c>
      <x:c r="H14" s="7" t="str">
        <x:v>DN_B010_001</x:v>
      </x:c>
      <x:c r="I14" s="7" t="str">
        <x:v>每板4 RX通道；空白期切到静态偏置</x:v>
      </x:c>
      <x:c r="J14" s="7" t="str">
        <x:v>UNKNOWN</x:v>
      </x:c>
      <x:c r="K14" s="7" t="str">
        <x:v>https://www.ti.com/product/TMUX1574</x:v>
      </x:c>
      <x:c r="L14" s="7" t="str">
        <x:v>AUTHORIZED_VENDOR_NOT_SELECTED</x:v>
      </x:c>
      <x:c r="M14" s="7" t="str">
        <x:v>NOT_APPROVED_FOR_PROCUREMENT</x:v>
      </x:c>
      <x:c r="N14" s="7" t="str">
        <x:v>UNVERIFIED</x:v>
      </x:c>
      <x:c r="O14" s="7" t="str">
        <x:v>UNKNOWN</x:v>
      </x:c>
      <x:c r="P14" s="7" t="str">
        <x:v>Inherited candidate quantity; netlist/thermal review pending</x:v>
      </x:c>
    </x:row>
    <x:row r="15" ht="76" customHeight="1">
      <x:c r="A15" s="7" t="str">
        <x:v>B-011</x:v>
      </x:c>
      <x:c r="B15" s="7" t="str">
        <x:v>OPA4192IPWR</x:v>
      </x:c>
      <x:c r="C15" s="7" t="str">
        <x:v>四路精密运放</x:v>
      </x:c>
      <x:c r="D15" s="7" t="str">
        <x:v>TSSOP-14; pins UNKNOWN</x:v>
      </x:c>
      <x:c r="E15" s="7" t="n">
        <x:v>2</x:v>
      </x:c>
      <x:c r="F15" s="10" t="n">
        <x:v>0.1</x:v>
      </x:c>
      <x:c r="G15" s="7" t="n">
        <x:f>ROUNDUP(E15*(1+F15),0)</x:f>
        <x:v>3</x:v>
      </x:c>
      <x:c r="H15" s="7" t="str">
        <x:v>DN_B011_001, DN_B011_002</x:v>
      </x:c>
      <x:c r="I15" s="7" t="str">
        <x:v>每个RX两级，合计16运放单元</x:v>
      </x:c>
      <x:c r="J15" s="7" t="str">
        <x:v>UNKNOWN</x:v>
      </x:c>
      <x:c r="K15" s="7" t="str">
        <x:v>https://www.ti.com/product/OPA4192</x:v>
      </x:c>
      <x:c r="L15" s="7" t="str">
        <x:v>AUTHORIZED_VENDOR_NOT_SELECTED</x:v>
      </x:c>
      <x:c r="M15" s="7" t="str">
        <x:v>NOT_APPROVED_FOR_PROCUREMENT</x:v>
      </x:c>
      <x:c r="N15" s="7" t="str">
        <x:v>UNVERIFIED</x:v>
      </x:c>
      <x:c r="O15" s="7" t="str">
        <x:v>UNKNOWN</x:v>
      </x:c>
      <x:c r="P15" s="7" t="str">
        <x:v>Inherited candidate quantity; netlist/thermal review pending</x:v>
      </x:c>
    </x:row>
    <x:row r="16" ht="76" customHeight="1">
      <x:c r="A16" s="7" t="str">
        <x:v>B-012</x:v>
      </x:c>
      <x:c r="B16" s="7" t="str">
        <x:v>REF5025AIDR</x:v>
      </x:c>
      <x:c r="C16" s="7" t="str">
        <x:v>2.5V 精密偏置基准</x:v>
      </x:c>
      <x:c r="D16" s="7" t="str">
        <x:v>SOIC-8; pins UNKNOWN</x:v>
      </x:c>
      <x:c r="E16" s="7" t="n">
        <x:v>1</x:v>
      </x:c>
      <x:c r="F16" s="10" t="n">
        <x:v>0.1</x:v>
      </x:c>
      <x:c r="G16" s="7" t="n">
        <x:f>ROUNDUP(E16*(1+F16),0)</x:f>
        <x:v>2</x:v>
      </x:c>
      <x:c r="H16" s="7" t="str">
        <x:v>DN_B012_001</x:v>
      </x:c>
      <x:c r="I16" s="7" t="str">
        <x:v>各板一颗；ADC内部基准另按AD7606B约束</x:v>
      </x:c>
      <x:c r="J16" s="7" t="str">
        <x:v>UNKNOWN</x:v>
      </x:c>
      <x:c r="K16" s="7" t="str">
        <x:v>https://www.ti.com/product/REF5025</x:v>
      </x:c>
      <x:c r="L16" s="7" t="str">
        <x:v>AUTHORIZED_VENDOR_NOT_SELECTED</x:v>
      </x:c>
      <x:c r="M16" s="7" t="str">
        <x:v>NOT_APPROVED_FOR_PROCUREMENT</x:v>
      </x:c>
      <x:c r="N16" s="7" t="str">
        <x:v>UNVERIFIED</x:v>
      </x:c>
      <x:c r="O16" s="7" t="str">
        <x:v>UNKNOWN</x:v>
      </x:c>
      <x:c r="P16" s="7" t="str">
        <x:v>Inherited candidate quantity; netlist/thermal review pending</x:v>
      </x:c>
    </x:row>
    <x:row r="17" ht="76" customHeight="1">
      <x:c r="A17" s="7" t="str">
        <x:v>B-013</x:v>
      </x:c>
      <x:c r="B17" s="7" t="str">
        <x:v>BAT54S</x:v>
      </x:c>
      <x:c r="C17" s="7" t="str">
        <x:v>双肖特基输入保护</x:v>
      </x:c>
      <x:c r="D17" s="7" t="str">
        <x:v>SOT-23; pins UNKNOWN</x:v>
      </x:c>
      <x:c r="E17" s="7" t="n">
        <x:v>4</x:v>
      </x:c>
      <x:c r="F17" s="10" t="n">
        <x:v>0.1</x:v>
      </x:c>
      <x:c r="G17" s="7" t="n">
        <x:f>ROUNDUP(E17*(1+F17),0)</x:f>
        <x:v>5</x:v>
      </x:c>
      <x:c r="H17" s="7" t="str">
        <x:v>DN_B013_001, DN_B013_002, DN_B013_003, DN_B013_004</x:v>
      </x:c>
      <x:c r="I17" s="7" t="str">
        <x:v>每RX一路</x:v>
      </x:c>
      <x:c r="J17" s="7" t="str">
        <x:v>UNKNOWN</x:v>
      </x:c>
      <x:c r="K17" s="7" t="str">
        <x:v>https://www.lcsc.com</x:v>
      </x:c>
      <x:c r="L17" s="7" t="str">
        <x:v>AUTHORIZED_VENDOR_NOT_SELECTED</x:v>
      </x:c>
      <x:c r="M17" s="7" t="str">
        <x:v>NOT_APPROVED_FOR_PROCUREMENT</x:v>
      </x:c>
      <x:c r="N17" s="7" t="str">
        <x:v>UNVERIFIED</x:v>
      </x:c>
      <x:c r="O17" s="7" t="str">
        <x:v>UNKNOWN</x:v>
      </x:c>
      <x:c r="P17" s="7" t="str">
        <x:v>Inherited candidate quantity; netlist/thermal review pending</x:v>
      </x:c>
    </x:row>
    <x:row r="18" ht="76" customHeight="1">
      <x:c r="A18" s="7" t="str">
        <x:v>B-018</x:v>
      </x:c>
      <x:c r="B18" s="7" t="str">
        <x:v>XT30PW-M30.G.Y</x:v>
      </x:c>
      <x:c r="C18" s="7" t="str">
        <x:v>独立12V电源输入座</x:v>
      </x:c>
      <x:c r="D18" s="7" t="str">
        <x:v>THT; pins UNKNOWN</x:v>
      </x:c>
      <x:c r="E18" s="7" t="n">
        <x:v>1</x:v>
      </x:c>
      <x:c r="F18" s="10" t="n">
        <x:v>0.1</x:v>
      </x:c>
      <x:c r="G18" s="7" t="n">
        <x:f>ROUNDUP(E18*(1+F18),0)</x:f>
        <x:v>2</x:v>
      </x:c>
      <x:c r="H18" s="7" t="str">
        <x:v>DN_B018_001</x:v>
      </x:c>
      <x:c r="I18" s="7" t="str">
        <x:v>每阵列专属PWR_UP_IN/PWR_LO_IN；不得从J10/J11取功率</x:v>
      </x:c>
      <x:c r="J18" s="7" t="str">
        <x:v>UNKNOWN</x:v>
      </x:c>
      <x:c r="K18" s="7" t="str">
        <x:v>https://www.lcsc.com</x:v>
      </x:c>
      <x:c r="L18" s="7" t="str">
        <x:v>AUTHORIZED_VENDOR_NOT_SELECTED</x:v>
      </x:c>
      <x:c r="M18" s="7" t="str">
        <x:v>NOT_APPROVED_FOR_PROCUREMENT</x:v>
      </x:c>
      <x:c r="N18" s="7" t="str">
        <x:v>UNVERIFIED</x:v>
      </x:c>
      <x:c r="O18" s="7" t="str">
        <x:v>UNKNOWN</x:v>
      </x:c>
      <x:c r="P18" s="7" t="str">
        <x:v>Inherited candidate quantity; netlist/thermal review pending</x:v>
      </x:c>
    </x:row>
    <x:row r="19" ht="76" customHeight="1">
      <x:c r="A19" s="7" t="str">
        <x:v>B-020</x:v>
      </x:c>
      <x:c r="B19" s="7" t="str">
        <x:v>TPS259470LRPWR</x:v>
      </x:c>
      <x:c r="C19" s="7" t="str">
        <x:v>正向/反向/过流eFuse</x:v>
      </x:c>
      <x:c r="D19" s="7" t="str">
        <x:v>VQFN-10; pins UNKNOWN</x:v>
      </x:c>
      <x:c r="E19" s="7" t="n">
        <x:v>1</x:v>
      </x:c>
      <x:c r="F19" s="10" t="n">
        <x:v>0.1</x:v>
      </x:c>
      <x:c r="G19" s="7" t="n">
        <x:f>ROUNDUP(E19*(1+F19),0)</x:f>
        <x:v>2</x:v>
      </x:c>
      <x:c r="H19" s="7" t="str">
        <x:v>DN_B020_001</x:v>
      </x:c>
      <x:c r="I19" s="7" t="str">
        <x:v>三路电源各自配置ILIM/OVLO；历史2A只是候选</x:v>
      </x:c>
      <x:c r="J19" s="7" t="str">
        <x:v>UNKNOWN</x:v>
      </x:c>
      <x:c r="K19" s="7" t="str">
        <x:v>https://www.ti.com/product/TPS25947</x:v>
      </x:c>
      <x:c r="L19" s="7" t="str">
        <x:v>AUTHORIZED_VENDOR_NOT_SELECTED</x:v>
      </x:c>
      <x:c r="M19" s="7" t="str">
        <x:v>NOT_APPROVED_FOR_PROCUREMENT</x:v>
      </x:c>
      <x:c r="N19" s="7" t="str">
        <x:v>UNVERIFIED</x:v>
      </x:c>
      <x:c r="O19" s="7" t="str">
        <x:v>UNKNOWN</x:v>
      </x:c>
      <x:c r="P19" s="7" t="str">
        <x:v>Inherited candidate quantity; netlist/thermal review pending</x:v>
      </x:c>
    </x:row>
    <x:row r="20" ht="76" customHeight="1">
      <x:c r="A20" s="7" t="str">
        <x:v>B-021</x:v>
      </x:c>
      <x:c r="B20" s="7" t="str">
        <x:v>INA226AIDGSR</x:v>
      </x:c>
      <x:c r="C20" s="7" t="str">
        <x:v>电源监控IC</x:v>
      </x:c>
      <x:c r="D20" s="7" t="str">
        <x:v>VSSOP-10; pins UNKNOWN</x:v>
      </x:c>
      <x:c r="E20" s="7" t="n">
        <x:v>1</x:v>
      </x:c>
      <x:c r="F20" s="10" t="n">
        <x:v>0.1</x:v>
      </x:c>
      <x:c r="G20" s="7" t="n">
        <x:f>ROUNDUP(E20*(1+F20),0)</x:f>
        <x:v>2</x:v>
      </x:c>
      <x:c r="H20" s="7" t="str">
        <x:v>DN_B021_001</x:v>
      </x:c>
      <x:c r="I20" s="7" t="str">
        <x:v>两阵列+中央各一颗，shunt实际功耗需核算</x:v>
      </x:c>
      <x:c r="J20" s="7" t="str">
        <x:v>UNKNOWN</x:v>
      </x:c>
      <x:c r="K20" s="7" t="str">
        <x:v>https://www.ti.com/product/INA226</x:v>
      </x:c>
      <x:c r="L20" s="7" t="str">
        <x:v>AUTHORIZED_VENDOR_NOT_SELECTED</x:v>
      </x:c>
      <x:c r="M20" s="7" t="str">
        <x:v>NOT_APPROVED_FOR_PROCUREMENT</x:v>
      </x:c>
      <x:c r="N20" s="7" t="str">
        <x:v>UNVERIFIED</x:v>
      </x:c>
      <x:c r="O20" s="7" t="str">
        <x:v>UNKNOWN</x:v>
      </x:c>
      <x:c r="P20" s="7" t="str">
        <x:v>Inherited candidate quantity; netlist/thermal review pending</x:v>
      </x:c>
    </x:row>
    <x:row r="21" ht="76" customHeight="1">
      <x:c r="A21" s="7" t="str">
        <x:v>B-022</x:v>
      </x:c>
      <x:c r="B21" s="7" t="str">
        <x:v>20mΩ 2512 1% 2W</x:v>
      </x:c>
      <x:c r="C21" s="7" t="str">
        <x:v>低值分流电阻</x:v>
      </x:c>
      <x:c r="D21" s="7" t="str">
        <x:v>2512; pins UNKNOWN</x:v>
      </x:c>
      <x:c r="E21" s="7" t="n">
        <x:v>1</x:v>
      </x:c>
      <x:c r="F21" s="10" t="n">
        <x:v>0.1</x:v>
      </x:c>
      <x:c r="G21" s="7" t="n">
        <x:f>ROUNDUP(E21*(1+F21),0)</x:f>
        <x:v>2</x:v>
      </x:c>
      <x:c r="H21" s="7" t="str">
        <x:v>DN_B022_001</x:v>
      </x:c>
      <x:c r="I21" s="7" t="str">
        <x:v>20mΩ：INA226电流测量满量程约±4.096A</x:v>
      </x:c>
      <x:c r="J21" s="7" t="str">
        <x:v>UNKNOWN</x:v>
      </x:c>
      <x:c r="K21" s="7" t="str">
        <x:v>https://www.lcsc.com</x:v>
      </x:c>
      <x:c r="L21" s="7" t="str">
        <x:v>AUTHORIZED_VENDOR_NOT_SELECTED</x:v>
      </x:c>
      <x:c r="M21" s="7" t="str">
        <x:v>NOT_APPROVED_FOR_PROCUREMENT</x:v>
      </x:c>
      <x:c r="N21" s="7" t="str">
        <x:v>UNVERIFIED</x:v>
      </x:c>
      <x:c r="O21" s="7" t="str">
        <x:v>UNKNOWN</x:v>
      </x:c>
      <x:c r="P21" s="7" t="str">
        <x:v>Inherited candidate quantity; netlist/thermal review pending</x:v>
      </x:c>
    </x:row>
    <x:row r="22" ht="76" customHeight="1">
      <x:c r="A22" s="7" t="str">
        <x:v>B-023</x:v>
      </x:c>
      <x:c r="B22" s="7" t="str">
        <x:v>SMBJ20A 类</x:v>
      </x:c>
      <x:c r="C22" s="7" t="str">
        <x:v>输入TVS</x:v>
      </x:c>
      <x:c r="D22" s="7" t="str">
        <x:v>SMB; pins UNKNOWN</x:v>
      </x:c>
      <x:c r="E22" s="7" t="n">
        <x:v>1</x:v>
      </x:c>
      <x:c r="F22" s="10" t="n">
        <x:v>0.1</x:v>
      </x:c>
      <x:c r="G22" s="7" t="n">
        <x:f>ROUNDUP(E22*(1+F22),0)</x:f>
        <x:v>2</x:v>
      </x:c>
      <x:c r="H22" s="7" t="str">
        <x:v>DN_B023_001</x:v>
      </x:c>
      <x:c r="I22" s="7" t="str">
        <x:v>SMBJ20A候选撤销释放；32.4V钳位高于eFuse28V abs max</x:v>
      </x:c>
      <x:c r="J22" s="7" t="str">
        <x:v>UNKNOWN</x:v>
      </x:c>
      <x:c r="K22" s="7" t="str">
        <x:v>https://www.littelfuse.com/products/tvs-diodes/smbj.aspx</x:v>
      </x:c>
      <x:c r="L22" s="7" t="str">
        <x:v>AUTHORIZED_VENDOR_NOT_SELECTED</x:v>
      </x:c>
      <x:c r="M22" s="7" t="str">
        <x:v>NOT_APPROVED_FOR_PROCUREMENT</x:v>
      </x:c>
      <x:c r="N22" s="7" t="str">
        <x:v>UNVERIFIED</x:v>
      </x:c>
      <x:c r="O22" s="7" t="str">
        <x:v>UNKNOWN</x:v>
      </x:c>
      <x:c r="P22" s="7" t="str">
        <x:v>Inherited SMBJ20A clamp cannot be assumed safe for &lt;=23V eFuse; dynamic clamp/current and buck absolute limits HOLD</x:v>
      </x:c>
    </x:row>
    <x:row r="23" ht="76" customHeight="1">
      <x:c r="A23" s="7" t="str">
        <x:v>B-024</x:v>
      </x:c>
      <x:c r="B23" s="7" t="str">
        <x:v>2A 慢断候选，具体值TBD</x:v>
      </x:c>
      <x:c r="C23" s="7" t="str">
        <x:v>独立熔断器及座</x:v>
      </x:c>
      <x:c r="D23" s="7" t="str">
        <x:v>TBD; pins UNKNOWN</x:v>
      </x:c>
      <x:c r="E23" s="7" t="n">
        <x:v>1</x:v>
      </x:c>
      <x:c r="F23" s="10" t="n">
        <x:v>0.1</x:v>
      </x:c>
      <x:c r="G23" s="7" t="n">
        <x:f>ROUNDUP(E23*(1+F23),0)</x:f>
        <x:v>2</x:v>
      </x:c>
      <x:c r="H23" s="7" t="str">
        <x:v>DN_B024_001</x:v>
      </x:c>
      <x:c r="I23" s="7" t="str">
        <x:v>3路/需按实测峰值选值</x:v>
      </x:c>
      <x:c r="J23" s="7" t="str">
        <x:v>UNKNOWN</x:v>
      </x:c>
      <x:c r="K23" s="7" t="str">
        <x:v>https://www.lcsc.com</x:v>
      </x:c>
      <x:c r="L23" s="7" t="str">
        <x:v>AUTHORIZED_VENDOR_NOT_SELECTED</x:v>
      </x:c>
      <x:c r="M23" s="7" t="str">
        <x:v>NOT_APPROVED_FOR_PROCUREMENT</x:v>
      </x:c>
      <x:c r="N23" s="7" t="str">
        <x:v>UNVERIFIED</x:v>
      </x:c>
      <x:c r="O23" s="7" t="str">
        <x:v>UNKNOWN</x:v>
      </x:c>
      <x:c r="P23" s="7" t="str">
        <x:v>2A candidate is not validated with5A source; fuse/eFuse/wire inrush/selectivity HOLD</x:v>
      </x:c>
    </x:row>
    <x:row r="24" ht="76" customHeight="1">
      <x:c r="A24" s="7" t="str">
        <x:v>B-025</x:v>
      </x:c>
      <x:c r="B24" s="7" t="str">
        <x:v>E-STOP接口 + NC触点/继电开关待定</x:v>
      </x:c>
      <x:c r="C24" s="7" t="str">
        <x:v>板级电源总开关/硬件急停输入</x:v>
      </x:c>
      <x:c r="D24" s="7" t="str">
        <x:v>TBD; pins UNKNOWN</x:v>
      </x:c>
      <x:c r="E24" s="7" t="n">
        <x:v>1</x:v>
      </x:c>
      <x:c r="F24" s="10" t="n">
        <x:v>0.1</x:v>
      </x:c>
      <x:c r="G24" s="7" t="n">
        <x:f>ROUNDUP(E24*(1+F24),0)</x:f>
        <x:v>2</x:v>
      </x:c>
      <x:c r="H24" s="7" t="str">
        <x:v>DN_B025_001</x:v>
      </x:c>
      <x:c r="I24" s="7" t="str">
        <x:v>硬件切断driver enable或电源域，二选一/组合实测</x:v>
      </x:c>
      <x:c r="J24" s="7" t="str">
        <x:v>UNKNOWN</x:v>
      </x:c>
      <x:c r="K24" s="7" t="str">
        <x:v>https://www.ti.com/product/TPS25947</x:v>
      </x:c>
      <x:c r="L24" s="7" t="str">
        <x:v>AUTHORIZED_VENDOR_NOT_SELECTED</x:v>
      </x:c>
      <x:c r="M24" s="7" t="str">
        <x:v>NOT_APPROVED_FOR_PROCUREMENT</x:v>
      </x:c>
      <x:c r="N24" s="7" t="str">
        <x:v>UNVERIFIED</x:v>
      </x:c>
      <x:c r="O24" s="7" t="str">
        <x:v>UNKNOWN</x:v>
      </x:c>
      <x:c r="P24" s="7" t="str">
        <x:v>Inherited candidate quantity; netlist/thermal review pending</x:v>
      </x:c>
    </x:row>
    <x:row r="25" ht="76" customHeight="1">
      <x:c r="A25" s="7" t="str">
        <x:v>B-026</x:v>
      </x:c>
      <x:c r="B25" s="7" t="str">
        <x:v>开漏/拉升/隔离网络 TBD</x:v>
      </x:c>
      <x:c r="C25" s="7" t="str">
        <x:v>本地PGOOD与FAULT反馈电路</x:v>
      </x:c>
      <x:c r="D25" s="7" t="str">
        <x:v>离散; pins UNKNOWN</x:v>
      </x:c>
      <x:c r="E25" s="7" t="n">
        <x:v>1</x:v>
      </x:c>
      <x:c r="F25" s="10" t="n">
        <x:v>0.1</x:v>
      </x:c>
      <x:c r="G25" s="7" t="n">
        <x:f>ROUNDUP(E25*(1+F25),0)</x:f>
        <x:v>2</x:v>
      </x:c>
      <x:c r="H25" s="7" t="str">
        <x:v>DN_B026_001</x:v>
      </x:c>
      <x:c r="I25" s="7" t="str">
        <x:v>每板输出LOCAL_PGOOD/LOCAL_FAULT</x:v>
      </x:c>
      <x:c r="J25" s="7" t="str">
        <x:v>UNKNOWN</x:v>
      </x:c>
      <x:c r="K25" s="7" t="str">
        <x:v>https://www.ti.com/product/SN74AXC8T245</x:v>
      </x:c>
      <x:c r="L25" s="7" t="str">
        <x:v>AUTHORIZED_VENDOR_NOT_SELECTED</x:v>
      </x:c>
      <x:c r="M25" s="7" t="str">
        <x:v>NOT_APPROVED_FOR_PROCUREMENT</x:v>
      </x:c>
      <x:c r="N25" s="7" t="str">
        <x:v>UNVERIFIED</x:v>
      </x:c>
      <x:c r="O25" s="7" t="str">
        <x:v>UNKNOWN</x:v>
      </x:c>
      <x:c r="P25" s="7" t="str">
        <x:v>Inherited candidate quantity; netlist/thermal review pending</x:v>
      </x:c>
    </x:row>
    <x:row r="26" ht="76" customHeight="1">
      <x:c r="A26" s="7" t="str">
        <x:v>B-027</x:v>
      </x:c>
      <x:c r="B26" s="7" t="str">
        <x:v>AP63203WU-7</x:v>
      </x:c>
      <x:c r="C26" s="7" t="str">
        <x:v>3.3V数字电源DC/DC</x:v>
      </x:c>
      <x:c r="D26" s="7" t="str">
        <x:v>TSOT-26; pins UNKNOWN</x:v>
      </x:c>
      <x:c r="E26" s="7" t="n">
        <x:v>1</x:v>
      </x:c>
      <x:c r="F26" s="10" t="n">
        <x:v>0.1</x:v>
      </x:c>
      <x:c r="G26" s="7" t="n">
        <x:f>ROUNDUP(E26*(1+F26),0)</x:f>
        <x:v>2</x:v>
      </x:c>
      <x:c r="H26" s="7" t="str">
        <x:v>DN_B027_001</x:v>
      </x:c>
      <x:c r="I26" s="7" t="str">
        <x:v>每板12V→3.3V；负载核验</x:v>
      </x:c>
      <x:c r="J26" s="7" t="str">
        <x:v>UNKNOWN</x:v>
      </x:c>
      <x:c r="K26" s="7" t="str">
        <x:v>https://www.diodes.com/part/view/AP63203</x:v>
      </x:c>
      <x:c r="L26" s="7" t="str">
        <x:v>AUTHORIZED_VENDOR_NOT_SELECTED</x:v>
      </x:c>
      <x:c r="M26" s="7" t="str">
        <x:v>NOT_APPROVED_FOR_PROCUREMENT</x:v>
      </x:c>
      <x:c r="N26" s="7" t="str">
        <x:v>UNVERIFIED</x:v>
      </x:c>
      <x:c r="O26" s="7" t="str">
        <x:v>UNKNOWN</x:v>
      </x:c>
      <x:c r="P26" s="7" t="str">
        <x:v>No central12V supply/converter or5V-to5V LDO headroom; central header budget HOLD</x:v>
      </x:c>
    </x:row>
    <x:row r="27" ht="76" customHeight="1">
      <x:c r="A27" s="7" t="str">
        <x:v>B-028</x:v>
      </x:c>
      <x:c r="B27" s="7" t="str">
        <x:v>AP63200WU-7</x:v>
      </x:c>
      <x:c r="C27" s="7" t="str">
        <x:v>5.5V可调DC/DC</x:v>
      </x:c>
      <x:c r="D27" s="7" t="str">
        <x:v>TSOT-26; pins UNKNOWN</x:v>
      </x:c>
      <x:c r="E27" s="7" t="n">
        <x:v>1</x:v>
      </x:c>
      <x:c r="F27" s="10" t="n">
        <x:v>0.1</x:v>
      </x:c>
      <x:c r="G27" s="7" t="n">
        <x:f>ROUNDUP(E27*(1+F27),0)</x:f>
        <x:v>2</x:v>
      </x:c>
      <x:c r="H27" s="7" t="str">
        <x:v>DN_B028_001</x:v>
      </x:c>
      <x:c r="I27" s="7" t="str">
        <x:v>5.5V预稳压+5V LDO；按实际负载核验</x:v>
      </x:c>
      <x:c r="J27" s="7" t="str">
        <x:v>UNKNOWN</x:v>
      </x:c>
      <x:c r="K27" s="7" t="str">
        <x:v>https://www.diodes.com/part/view/AP63200</x:v>
      </x:c>
      <x:c r="L27" s="7" t="str">
        <x:v>AUTHORIZED_VENDOR_NOT_SELECTED</x:v>
      </x:c>
      <x:c r="M27" s="7" t="str">
        <x:v>NOT_APPROVED_FOR_PROCUREMENT</x:v>
      </x:c>
      <x:c r="N27" s="7" t="str">
        <x:v>UNVERIFIED</x:v>
      </x:c>
      <x:c r="O27" s="7" t="str">
        <x:v>UNKNOWN</x:v>
      </x:c>
      <x:c r="P27" s="7" t="str">
        <x:v>No central12V supply/converter or5V-to5V LDO headroom; central header budget HOLD</x:v>
      </x:c>
    </x:row>
    <x:row r="28" ht="76" customHeight="1">
      <x:c r="A28" s="7" t="str">
        <x:v>B-029</x:v>
      </x:c>
      <x:c r="B28" s="7" t="str">
        <x:v>ADP7118ACPZN5.0-R7</x:v>
      </x:c>
      <x:c r="C28" s="7" t="str">
        <x:v>5V低噪声LDO</x:v>
      </x:c>
      <x:c r="D28" s="7" t="str">
        <x:v>LFCSP-6 / CP-6-3 (EP=GND); pins UNKNOWN</x:v>
      </x:c>
      <x:c r="E28" s="7" t="n">
        <x:v>1</x:v>
      </x:c>
      <x:c r="F28" s="10" t="n">
        <x:v>0.1</x:v>
      </x:c>
      <x:c r="G28" s="7" t="n">
        <x:f>ROUNDUP(E28*(1+F28),0)</x:f>
        <x:v>2</x:v>
      </x:c>
      <x:c r="H28" s="7" t="str">
        <x:v>DN_B029_001</x:v>
      </x:c>
      <x:c r="I28" s="7" t="str">
        <x:v>输出能力/热耗按精确封装与Iload审核</x:v>
      </x:c>
      <x:c r="J28" s="7" t="str">
        <x:v>UNKNOWN</x:v>
      </x:c>
      <x:c r="K28" s="7" t="str">
        <x:v>https://www.analog.com/en/products/adp7118.html</x:v>
      </x:c>
      <x:c r="L28" s="7" t="str">
        <x:v>AUTHORIZED_VENDOR_NOT_SELECTED</x:v>
      </x:c>
      <x:c r="M28" s="7" t="str">
        <x:v>NOT_APPROVED_FOR_PROCUREMENT</x:v>
      </x:c>
      <x:c r="N28" s="7" t="str">
        <x:v>UNVERIFIED</x:v>
      </x:c>
      <x:c r="O28" s="7" t="str">
        <x:v>UNKNOWN</x:v>
      </x:c>
      <x:c r="P28" s="7" t="str">
        <x:v>No central12V supply/converter or5V-to5V LDO headroom; central header budget HOLD</x:v>
      </x:c>
    </x:row>
    <x:row r="29" ht="76" customHeight="1">
      <x:c r="A29" s="7" t="str">
        <x:v>B-030</x:v>
      </x:c>
      <x:c r="B29" s="7" t="str">
        <x:v>6.8µH ≥5A 候选</x:v>
      </x:c>
      <x:c r="C29" s="7" t="str">
        <x:v>DC/DC功率电感</x:v>
      </x:c>
      <x:c r="D29" s="7" t="str">
        <x:v>SMD; pins UNKNOWN</x:v>
      </x:c>
      <x:c r="E29" s="7" t="n">
        <x:v>2</x:v>
      </x:c>
      <x:c r="F29" s="10" t="n">
        <x:v>0.1</x:v>
      </x:c>
      <x:c r="G29" s="7" t="n">
        <x:f>ROUNDUP(E29*(1+F29),0)</x:f>
        <x:v>3</x:v>
      </x:c>
      <x:c r="H29" s="7" t="str">
        <x:v>DN_B030_001, DN_B030_002</x:v>
      </x:c>
      <x:c r="I29" s="7" t="str">
        <x:v>两路buck每板2颗</x:v>
      </x:c>
      <x:c r="J29" s="7" t="str">
        <x:v>UNKNOWN</x:v>
      </x:c>
      <x:c r="K29" s="7" t="str">
        <x:v>https://www.diodes.com/part/view/AP63203</x:v>
      </x:c>
      <x:c r="L29" s="7" t="str">
        <x:v>AUTHORIZED_VENDOR_NOT_SELECTED</x:v>
      </x:c>
      <x:c r="M29" s="7" t="str">
        <x:v>NOT_APPROVED_FOR_PROCUREMENT</x:v>
      </x:c>
      <x:c r="N29" s="7" t="str">
        <x:v>UNVERIFIED</x:v>
      </x:c>
      <x:c r="O29" s="7" t="str">
        <x:v>UNKNOWN</x:v>
      </x:c>
      <x:c r="P29" s="7" t="str">
        <x:v>No central12V supply/converter or5V-to5V LDO headroom; central header budget HOLD</x:v>
      </x:c>
    </x:row>
    <x:row r="30" ht="76" customHeight="1">
      <x:c r="A30" s="7" t="str">
        <x:v>B-031</x:v>
      </x:c>
      <x:c r="B30" s="7" t="str">
        <x:v>BLM21PG221SN1D</x:v>
      </x:c>
      <x:c r="C30" s="7" t="str">
        <x:v>模拟电源磁珠</x:v>
      </x:c>
      <x:c r="D30" s="7" t="str">
        <x:v>0805; pins UNKNOWN</x:v>
      </x:c>
      <x:c r="E30" s="7" t="n">
        <x:v>1</x:v>
      </x:c>
      <x:c r="F30" s="10" t="n">
        <x:v>0.1</x:v>
      </x:c>
      <x:c r="G30" s="7" t="n">
        <x:f>ROUNDUP(E30*(1+F30),0)</x:f>
        <x:v>2</x:v>
      </x:c>
      <x:c r="H30" s="7" t="str">
        <x:v>DN_B031_001</x:v>
      </x:c>
      <x:c r="I30" s="7" t="str">
        <x:v>220Ω@100MHz / 2A 标称候选</x:v>
      </x:c>
      <x:c r="J30" s="7" t="str">
        <x:v>UNKNOWN</x:v>
      </x:c>
      <x:c r="K30" s="7" t="str">
        <x:v>https://www.lcsc.com</x:v>
      </x:c>
      <x:c r="L30" s="7" t="str">
        <x:v>AUTHORIZED_VENDOR_NOT_SELECTED</x:v>
      </x:c>
      <x:c r="M30" s="7" t="str">
        <x:v>NOT_APPROVED_FOR_PROCUREMENT</x:v>
      </x:c>
      <x:c r="N30" s="7" t="str">
        <x:v>UNVERIFIED</x:v>
      </x:c>
      <x:c r="O30" s="7" t="str">
        <x:v>UNKNOWN</x:v>
      </x:c>
      <x:c r="P30" s="7" t="str">
        <x:v>Inherited candidate quantity; netlist/thermal review pending</x:v>
      </x:c>
    </x:row>
    <x:row r="31" ht="76" customHeight="1">
      <x:c r="A31" s="7" t="str">
        <x:v>B-032</x:v>
      </x:c>
      <x:c r="B31" s="7" t="str">
        <x:v>TMP117MAIDRVR</x:v>
      </x:c>
      <x:c r="C31" s="7" t="str">
        <x:v>PCB板温监测</x:v>
      </x:c>
      <x:c r="D31" s="7" t="str">
        <x:v>WSON-6; pins 6</x:v>
      </x:c>
      <x:c r="E31" s="7" t="n">
        <x:v>1</x:v>
      </x:c>
      <x:c r="F31" s="10" t="n">
        <x:v>0.1</x:v>
      </x:c>
      <x:c r="G31" s="7" t="n">
        <x:f>ROUNDUP(E31*(1+F31),0)</x:f>
        <x:v>2</x:v>
      </x:c>
      <x:c r="H31" s="7" t="str">
        <x:v>DN_B032_001</x:v>
      </x:c>
      <x:c r="I31" s="7" t="str">
        <x:v>监测驱动温度，不等于空气温湿度</x:v>
      </x:c>
      <x:c r="J31" s="7" t="str">
        <x:v>UNKNOWN</x:v>
      </x:c>
      <x:c r="K31" s="7" t="str">
        <x:v>https://www.ti.com/lit/ds/symlink/tmp117.pdf</x:v>
      </x:c>
      <x:c r="L31" s="7" t="str">
        <x:v>AUTHORIZED_VENDOR_NOT_SELECTED</x:v>
      </x:c>
      <x:c r="M31" s="7" t="str">
        <x:v>NOT_APPROVED_FOR_PROCUREMENT</x:v>
      </x:c>
      <x:c r="N31" s="7" t="str">
        <x:v>UNVERIFIED</x:v>
      </x:c>
      <x:c r="O31" s="7" t="str">
        <x:v>UNKNOWN</x:v>
      </x:c>
      <x:c r="P31" s="7" t="str">
        <x:v>3 sensors required; CENTER air representative away from heat; UP0x49/DOWN0x4b/CENTER0x48; read ID/readiness and bounded bus; no temperatureCRC</x:v>
      </x:c>
    </x:row>
    <x:row r="32" ht="76" customHeight="1">
      <x:c r="A32" s="7" t="str">
        <x:v>B-034</x:v>
      </x:c>
      <x:c r="B32" s="7" t="str">
        <x:v>2×25 IDC防呆（候选）</x:v>
      </x:c>
      <x:c r="C32" s="7" t="str">
        <x:v>50芯独立数据接头</x:v>
      </x:c>
      <x:c r="D32" s="7" t="str">
        <x:v>THT; pins UNKNOWN</x:v>
      </x:c>
      <x:c r="E32" s="7" t="n">
        <x:v>1</x:v>
      </x:c>
      <x:c r="F32" s="10" t="n">
        <x:v>0.1</x:v>
      </x:c>
      <x:c r="G32" s="7" t="n">
        <x:f>ROUNDUP(E32*(1+F32),0)</x:f>
        <x:v>2</x:v>
      </x:c>
      <x:c r="H32" s="7" t="str">
        <x:v>DN_B034_001</x:v>
      </x:c>
      <x:c r="I32" s="7" t="str">
        <x:v>每板1个，高速数据+GND相邻，不能当成最终可用66MHz</x:v>
      </x:c>
      <x:c r="J32" s="7" t="str">
        <x:v>UNKNOWN</x:v>
      </x:c>
      <x:c r="K32" s="7" t="str">
        <x:v>https://www.lcsc.com/custom-cable-assembly</x:v>
      </x:c>
      <x:c r="L32" s="7" t="str">
        <x:v>AUTHORIZED_VENDOR_NOT_SELECTED</x:v>
      </x:c>
      <x:c r="M32" s="7" t="str">
        <x:v>NOT_APPROVED_FOR_PROCUREMENT</x:v>
      </x:c>
      <x:c r="N32" s="7" t="str">
        <x:v>UNVERIFIED</x:v>
      </x:c>
      <x:c r="O32" s="7" t="str">
        <x:v>UNKNOWN</x:v>
      </x:c>
      <x:c r="P32" s="7" t="str">
        <x:v>Inherited candidate quantity; netlist/thermal review pending</x:v>
      </x:c>
    </x:row>
    <x:row r="33" ht="76" customHeight="1">
      <x:c r="A33" s="7" t="str">
        <x:v>B-036</x:v>
      </x:c>
      <x:c r="B33" s="7" t="str">
        <x:v>不带变压器的被动8P8C/屏蔽连接器</x:v>
      </x:c>
      <x:c r="C33" s="7" t="str">
        <x:v>8芯4对模拟RX接口</x:v>
      </x:c>
      <x:c r="D33" s="7" t="str">
        <x:v>THT; pins UNKNOWN</x:v>
      </x:c>
      <x:c r="E33" s="7" t="n">
        <x:v>1</x:v>
      </x:c>
      <x:c r="F33" s="10" t="n">
        <x:v>0.1</x:v>
      </x:c>
      <x:c r="G33" s="7" t="n">
        <x:f>ROUNDUP(E33*(1+F33),0)</x:f>
        <x:v>2</x:v>
      </x:c>
      <x:c r="H33" s="7" t="str">
        <x:v>DN_B036_001</x:v>
      </x:c>
      <x:c r="I33" s="7" t="str">
        <x:v>上/下阵列各1个，中央2个，明确标非以太网</x:v>
      </x:c>
      <x:c r="J33" s="7" t="str">
        <x:v>UNKNOWN</x:v>
      </x:c>
      <x:c r="K33" s="7" t="str">
        <x:v>https://www.lcsc.com</x:v>
      </x:c>
      <x:c r="L33" s="7" t="str">
        <x:v>AUTHORIZED_VENDOR_NOT_SELECTED</x:v>
      </x:c>
      <x:c r="M33" s="7" t="str">
        <x:v>NOT_APPROVED_FOR_PROCUREMENT</x:v>
      </x:c>
      <x:c r="N33" s="7" t="str">
        <x:v>UNVERIFIED</x:v>
      </x:c>
      <x:c r="O33" s="7" t="str">
        <x:v>UNKNOWN</x:v>
      </x:c>
      <x:c r="P33" s="7" t="str">
        <x:v>Inherited candidate quantity; netlist/thermal review pending</x:v>
      </x:c>
    </x:row>
    <x:row r="34" ht="204" customHeight="1">
      <x:c r="A34" s="7" t="str">
        <x:v>B-046</x:v>
      </x:c>
      <x:c r="B34" s="7" t="str">
        <x:v>100nF 50V X7R</x:v>
      </x:c>
      <x:c r="C34" s="7" t="str">
        <x:v>100nF去耦电容</x:v>
      </x:c>
      <x:c r="D34" s="7" t="str">
        <x:v>0603; pins UNKNOWN</x:v>
      </x:c>
      <x:c r="E34" s="7" t="n">
        <x:v>71</x:v>
      </x:c>
      <x:c r="F34" s="10" t="n">
        <x:v>0.1</x:v>
      </x:c>
      <x:c r="G34" s="7" t="n">
        <x:f>ROUNDUP(E34*(1+F34),0)</x:f>
        <x:v>79</x:v>
      </x:c>
      <x:c r="H34" s="7" t="str">
        <x:v>DN_B046_001, DN_B046_002, DN_B046_003, DN_B046_004, DN_B046_005, DN_B046_006, DN_B046_007, DN_B046_008, DN_B046_009, DN_B046_010, DN_B046_011, DN_B046_012, DN_B046_013, DN_B046_014, DN_B046_015, DN_B046_016, DN_B046_017, DN_B046_018, DN_B046_019, DN_B046_020, DN_B046_021, DN_B046_022, DN_B046_023, DN_B046_024, DN_B046_025, DN_B046_026, DN_B046_027, DN_B046_028, DN_B046_029, DN_B046_030, DN_B046_031, DN_B046_032, DN_B046_033, DN_B046_034, DN_B046_035, DN_B046_036, DN_B046_037, DN_B046_038, DN_B046_039, DN_B046_040, DN_B046_041, DN_B046_042, DN_B046_043, DN_B046_044, DN_B046_045, DN_B046_046, DN_B046_047, DN_B046_048, DN_B046_049, DN_B046_050, DN_B046_051, DN_B046_052, DN_B046_053, DN_B046_054, DN_B046_055, DN_B046_056, DN_B046_057, DN_B046_058, DN_B046_059, DN_B046_060, DN_B046_061, DN_B046_062, DN_B046_063, DN_B046_064, DN_B046_065, DN_B046_066, DN_B046_067, DN_B046_068, DN_B046_069, DN_B046_070, DN_B046_071</x:v>
      </x:c>
      <x:c r="I34" s="7" t="str">
        <x:v>按原v5零件计数移植；新布板新增保护网路另计</x:v>
      </x:c>
      <x:c r="J34" s="7" t="str">
        <x:v>UNKNOWN</x:v>
      </x:c>
      <x:c r="K34" s="7" t="str">
        <x:v>https://github.com/loverlike1216/SonoField-FPGA/blob/main/v5/hardware/bom/BOM_MASTER.csv</x:v>
      </x:c>
      <x:c r="L34" s="7" t="str">
        <x:v>AUTHORIZED_VENDOR_NOT_SELECTED</x:v>
      </x:c>
      <x:c r="M34" s="7" t="str">
        <x:v>NOT_APPROVED_FOR_PROCUREMENT</x:v>
      </x:c>
      <x:c r="N34" s="7" t="str">
        <x:v>UNVERIFIED</x:v>
      </x:c>
      <x:c r="O34" s="7" t="str">
        <x:v>UNKNOWN</x:v>
      </x:c>
      <x:c r="P34" s="7" t="str">
        <x:v>Inherited candidate quantity; netlist/thermal review pending</x:v>
      </x:c>
    </x:row>
    <x:row r="35" ht="96" customHeight="1">
      <x:c r="A35" s="7" t="str">
        <x:v>B-047</x:v>
      </x:c>
      <x:c r="B35" s="7" t="str">
        <x:v>1µF 25V X7R</x:v>
      </x:c>
      <x:c r="C35" s="7" t="str">
        <x:v>1µF驱动储能</x:v>
      </x:c>
      <x:c r="D35" s="7" t="str">
        <x:v>0805; pins UNKNOWN</x:v>
      </x:c>
      <x:c r="E35" s="7" t="n">
        <x:v>33</x:v>
      </x:c>
      <x:c r="F35" s="10" t="n">
        <x:v>0.1</x:v>
      </x:c>
      <x:c r="G35" s="7" t="n">
        <x:f>ROUNDUP(E35*(1+F35),0)</x:f>
        <x:v>37</x:v>
      </x:c>
      <x:c r="H35" s="7" t="str">
        <x:v>DN_B047_001, DN_B047_002, DN_B047_003, DN_B047_004, DN_B047_005, DN_B047_006, DN_B047_007, DN_B047_008, DN_B047_009, DN_B047_010, DN_B047_011, DN_B047_012, DN_B047_013, DN_B047_014, DN_B047_015, DN_B047_016, DN_B047_017, DN_B047_018, DN_B047_019, DN_B047_020, DN_B047_021, DN_B047_022, DN_B047_023, DN_B047_024, DN_B047_025, DN_B047_026, DN_B047_027, DN_B047_028, DN_B047_029, DN_B047_030, DN_B047_031, DN_B047_032, DN_B047_033</x:v>
      </x:c>
      <x:c r="I35" s="7" t="str">
        <x:v>按原v5零件计数移植；新布板新增保护网路另计</x:v>
      </x:c>
      <x:c r="J35" s="7" t="str">
        <x:v>UNKNOWN</x:v>
      </x:c>
      <x:c r="K35" s="7" t="str">
        <x:v>https://github.com/loverlike1216/SonoField-FPGA/blob/main/v5/hardware/bom/BOM_MASTER.csv</x:v>
      </x:c>
      <x:c r="L35" s="7" t="str">
        <x:v>AUTHORIZED_VENDOR_NOT_SELECTED</x:v>
      </x:c>
      <x:c r="M35" s="7" t="str">
        <x:v>NOT_APPROVED_FOR_PROCUREMENT</x:v>
      </x:c>
      <x:c r="N35" s="7" t="str">
        <x:v>UNVERIFIED</x:v>
      </x:c>
      <x:c r="O35" s="7" t="str">
        <x:v>UNKNOWN</x:v>
      </x:c>
      <x:c r="P35" s="7" t="str">
        <x:v>Inherited candidate quantity; netlist/thermal review pending</x:v>
      </x:c>
    </x:row>
    <x:row r="36" ht="76" customHeight="1">
      <x:c r="A36" s="7" t="str">
        <x:v>B-048</x:v>
      </x:c>
      <x:c r="B36" s="7" t="str">
        <x:v>22µF 25V X7R</x:v>
      </x:c>
      <x:c r="C36" s="7" t="str">
        <x:v>22µF局部储能</x:v>
      </x:c>
      <x:c r="D36" s="7" t="str">
        <x:v>1210; pins UNKNOWN</x:v>
      </x:c>
      <x:c r="E36" s="7" t="n">
        <x:v>12</x:v>
      </x:c>
      <x:c r="F36" s="10" t="n">
        <x:v>0.1</x:v>
      </x:c>
      <x:c r="G36" s="7" t="n">
        <x:f>ROUNDUP(E36*(1+F36),0)</x:f>
        <x:v>14</x:v>
      </x:c>
      <x:c r="H36" s="7" t="str">
        <x:v>DN_B048_001, DN_B048_002, DN_B048_003, DN_B048_004, DN_B048_005, DN_B048_006, DN_B048_007, DN_B048_008, DN_B048_009, DN_B048_010, DN_B048_011, DN_B048_012</x:v>
      </x:c>
      <x:c r="I36" s="7" t="str">
        <x:v>按原v5零件计数移植；新布板新增保护网路另计</x:v>
      </x:c>
      <x:c r="J36" s="7" t="str">
        <x:v>UNKNOWN</x:v>
      </x:c>
      <x:c r="K36" s="7" t="str">
        <x:v>https://github.com/loverlike1216/SonoField-FPGA/blob/main/v5/hardware/bom/BOM_MASTER.csv</x:v>
      </x:c>
      <x:c r="L36" s="7" t="str">
        <x:v>AUTHORIZED_VENDOR_NOT_SELECTED</x:v>
      </x:c>
      <x:c r="M36" s="7" t="str">
        <x:v>NOT_APPROVED_FOR_PROCUREMENT</x:v>
      </x:c>
      <x:c r="N36" s="7" t="str">
        <x:v>UNVERIFIED</x:v>
      </x:c>
      <x:c r="O36" s="7" t="str">
        <x:v>UNKNOWN</x:v>
      </x:c>
      <x:c r="P36" s="7" t="str">
        <x:v>Inherited candidate quantity; netlist/thermal review pending</x:v>
      </x:c>
    </x:row>
    <x:row r="37" ht="76" customHeight="1">
      <x:c r="A37" s="7" t="str">
        <x:v>B-049</x:v>
      </x:c>
      <x:c r="B37" s="7" t="str">
        <x:v>10µF 25V X7R</x:v>
      </x:c>
      <x:c r="C37" s="7" t="str">
        <x:v>10µF输入去耦</x:v>
      </x:c>
      <x:c r="D37" s="7" t="str">
        <x:v>1206; pins UNKNOWN</x:v>
      </x:c>
      <x:c r="E37" s="7" t="n">
        <x:v>3</x:v>
      </x:c>
      <x:c r="F37" s="10" t="n">
        <x:v>0.1</x:v>
      </x:c>
      <x:c r="G37" s="7" t="n">
        <x:f>ROUNDUP(E37*(1+F37),0)</x:f>
        <x:v>4</x:v>
      </x:c>
      <x:c r="H37" s="7" t="str">
        <x:v>DN_B049_001, DN_B049_002, DN_B049_003</x:v>
      </x:c>
      <x:c r="I37" s="7" t="str">
        <x:v>按原v5零件计数移植；新布板新增保护网路另计</x:v>
      </x:c>
      <x:c r="J37" s="7" t="str">
        <x:v>UNKNOWN</x:v>
      </x:c>
      <x:c r="K37" s="7" t="str">
        <x:v>https://github.com/loverlike1216/SonoField-FPGA/blob/main/v5/hardware/bom/BOM_MASTER.csv</x:v>
      </x:c>
      <x:c r="L37" s="7" t="str">
        <x:v>AUTHORIZED_VENDOR_NOT_SELECTED</x:v>
      </x:c>
      <x:c r="M37" s="7" t="str">
        <x:v>NOT_APPROVED_FOR_PROCUREMENT</x:v>
      </x:c>
      <x:c r="N37" s="7" t="str">
        <x:v>UNVERIFIED</x:v>
      </x:c>
      <x:c r="O37" s="7" t="str">
        <x:v>UNKNOWN</x:v>
      </x:c>
      <x:c r="P37" s="7" t="str">
        <x:v>Inherited candidate quantity; netlist/thermal review pending</x:v>
      </x:c>
    </x:row>
    <x:row r="38" ht="76" customHeight="1">
      <x:c r="A38" s="7" t="str">
        <x:v>B-050</x:v>
      </x:c>
      <x:c r="B38" s="7" t="str">
        <x:v>2.2µF 25V X7R</x:v>
      </x:c>
      <x:c r="C38" s="7" t="str">
        <x:v>2.2µF LDO稳定电容</x:v>
      </x:c>
      <x:c r="D38" s="7" t="str">
        <x:v>0805; pins UNKNOWN</x:v>
      </x:c>
      <x:c r="E38" s="7" t="n">
        <x:v>2</x:v>
      </x:c>
      <x:c r="F38" s="10" t="n">
        <x:v>0.1</x:v>
      </x:c>
      <x:c r="G38" s="7" t="n">
        <x:f>ROUNDUP(E38*(1+F38),0)</x:f>
        <x:v>3</x:v>
      </x:c>
      <x:c r="H38" s="7" t="str">
        <x:v>DN_B050_001, DN_B050_002</x:v>
      </x:c>
      <x:c r="I38" s="7" t="str">
        <x:v>按原v5零件计数移植；新布板新增保护网路另计</x:v>
      </x:c>
      <x:c r="J38" s="7" t="str">
        <x:v>UNKNOWN</x:v>
      </x:c>
      <x:c r="K38" s="7" t="str">
        <x:v>https://github.com/loverlike1216/SonoField-FPGA/blob/main/v5/hardware/bom/BOM_MASTER.csv</x:v>
      </x:c>
      <x:c r="L38" s="7" t="str">
        <x:v>AUTHORIZED_VENDOR_NOT_SELECTED</x:v>
      </x:c>
      <x:c r="M38" s="7" t="str">
        <x:v>NOT_APPROVED_FOR_PROCUREMENT</x:v>
      </x:c>
      <x:c r="N38" s="7" t="str">
        <x:v>UNVERIFIED</x:v>
      </x:c>
      <x:c r="O38" s="7" t="str">
        <x:v>UNKNOWN</x:v>
      </x:c>
      <x:c r="P38" s="7" t="str">
        <x:v>Inherited candidate quantity; netlist/thermal review pending</x:v>
      </x:c>
    </x:row>
    <x:row r="39" ht="76" customHeight="1">
      <x:c r="A39" s="7" t="str">
        <x:v>B-051</x:v>
      </x:c>
      <x:c r="B39" s="7" t="str">
        <x:v>470µF 35V</x:v>
      </x:c>
      <x:c r="C39" s="7" t="str">
        <x:v>470µF低ESR主储能</x:v>
      </x:c>
      <x:c r="D39" s="7" t="str">
        <x:v>THT; pins UNKNOWN</x:v>
      </x:c>
      <x:c r="E39" s="7" t="n">
        <x:v>1</x:v>
      </x:c>
      <x:c r="F39" s="10" t="n">
        <x:v>0.1</x:v>
      </x:c>
      <x:c r="G39" s="7" t="n">
        <x:f>ROUNDUP(E39*(1+F39),0)</x:f>
        <x:v>2</x:v>
      </x:c>
      <x:c r="H39" s="7" t="str">
        <x:v>DN_B051_001</x:v>
      </x:c>
      <x:c r="I39" s="7" t="str">
        <x:v>按原v5零件计数移植；新布板新增保护网路另计</x:v>
      </x:c>
      <x:c r="J39" s="7" t="str">
        <x:v>UNKNOWN</x:v>
      </x:c>
      <x:c r="K39" s="7" t="str">
        <x:v>https://github.com/loverlike1216/SonoField-FPGA/blob/main/v5/hardware/bom/BOM_MASTER.csv</x:v>
      </x:c>
      <x:c r="L39" s="7" t="str">
        <x:v>AUTHORIZED_VENDOR_NOT_SELECTED</x:v>
      </x:c>
      <x:c r="M39" s="7" t="str">
        <x:v>NOT_APPROVED_FOR_PROCUREMENT</x:v>
      </x:c>
      <x:c r="N39" s="7" t="str">
        <x:v>UNVERIFIED</x:v>
      </x:c>
      <x:c r="O39" s="7" t="str">
        <x:v>UNKNOWN</x:v>
      </x:c>
      <x:c r="P39" s="7" t="str">
        <x:v>No central12V supply/converter or5V-to5V LDO headroom; central header budget HOLD</x:v>
      </x:c>
    </x:row>
    <x:row r="40" ht="76" customHeight="1">
      <x:c r="A40" s="7" t="str">
        <x:v>B-052</x:v>
      </x:c>
      <x:c r="B40" s="7" t="str">
        <x:v>10nF 50V C0G</x:v>
      </x:c>
      <x:c r="C40" s="7" t="str">
        <x:v>10nF RX耦合</x:v>
      </x:c>
      <x:c r="D40" s="7" t="str">
        <x:v>0603; pins UNKNOWN</x:v>
      </x:c>
      <x:c r="E40" s="7" t="n">
        <x:v>4</x:v>
      </x:c>
      <x:c r="F40" s="10" t="n">
        <x:v>0.1</x:v>
      </x:c>
      <x:c r="G40" s="7" t="n">
        <x:f>ROUNDUP(E40*(1+F40),0)</x:f>
        <x:v>5</x:v>
      </x:c>
      <x:c r="H40" s="7" t="str">
        <x:v>DN_B052_001, DN_B052_002, DN_B052_003, DN_B052_004</x:v>
      </x:c>
      <x:c r="I40" s="7" t="str">
        <x:v>按原v5零件计数移植；新布板新增保护网路另计</x:v>
      </x:c>
      <x:c r="J40" s="7" t="str">
        <x:v>UNKNOWN</x:v>
      </x:c>
      <x:c r="K40" s="7" t="str">
        <x:v>https://github.com/loverlike1216/SonoField-FPGA/blob/main/v5/hardware/bom/BOM_MASTER.csv</x:v>
      </x:c>
      <x:c r="L40" s="7" t="str">
        <x:v>AUTHORIZED_VENDOR_NOT_SELECTED</x:v>
      </x:c>
      <x:c r="M40" s="7" t="str">
        <x:v>NOT_APPROVED_FOR_PROCUREMENT</x:v>
      </x:c>
      <x:c r="N40" s="7" t="str">
        <x:v>UNVERIFIED</x:v>
      </x:c>
      <x:c r="O40" s="7" t="str">
        <x:v>UNKNOWN</x:v>
      </x:c>
      <x:c r="P40" s="7" t="str">
        <x:v>Inherited candidate quantity; netlist/thermal review pending</x:v>
      </x:c>
    </x:row>
    <x:row r="41" ht="76" customHeight="1">
      <x:c r="A41" s="7" t="str">
        <x:v>B-053</x:v>
      </x:c>
      <x:c r="B41" s="7" t="str">
        <x:v>1nF 50V C0G</x:v>
      </x:c>
      <x:c r="C41" s="7" t="str">
        <x:v>1nF RX噪声过滤</x:v>
      </x:c>
      <x:c r="D41" s="7" t="str">
        <x:v>0603; pins UNKNOWN</x:v>
      </x:c>
      <x:c r="E41" s="7" t="n">
        <x:v>4</x:v>
      </x:c>
      <x:c r="F41" s="10" t="n">
        <x:v>0.1</x:v>
      </x:c>
      <x:c r="G41" s="7" t="n">
        <x:f>ROUNDUP(E41*(1+F41),0)</x:f>
        <x:v>5</x:v>
      </x:c>
      <x:c r="H41" s="7" t="str">
        <x:v>DN_B053_001, DN_B053_002, DN_B053_003, DN_B053_004</x:v>
      </x:c>
      <x:c r="I41" s="7" t="str">
        <x:v>按原v5零件计数移植；新布板新增保护网路另计</x:v>
      </x:c>
      <x:c r="J41" s="7" t="str">
        <x:v>UNKNOWN</x:v>
      </x:c>
      <x:c r="K41" s="7" t="str">
        <x:v>https://github.com/loverlike1216/SonoField-FPGA/blob/main/v5/hardware/bom/BOM_MASTER.csv</x:v>
      </x:c>
      <x:c r="L41" s="7" t="str">
        <x:v>AUTHORIZED_VENDOR_NOT_SELECTED</x:v>
      </x:c>
      <x:c r="M41" s="7" t="str">
        <x:v>NOT_APPROVED_FOR_PROCUREMENT</x:v>
      </x:c>
      <x:c r="N41" s="7" t="str">
        <x:v>UNVERIFIED</x:v>
      </x:c>
      <x:c r="O41" s="7" t="str">
        <x:v>UNKNOWN</x:v>
      </x:c>
      <x:c r="P41" s="7" t="str">
        <x:v>Inherited candidate quantity; netlist/thermal review pending</x:v>
      </x:c>
    </x:row>
    <x:row r="42" ht="252" customHeight="1">
      <x:c r="A42" s="7" t="str">
        <x:v>B-054</x:v>
      </x:c>
      <x:c r="B42" s="7" t="str">
        <x:v>100kΩ 1%</x:v>
      </x:c>
      <x:c r="C42" s="7" t="str">
        <x:v>100kΩ上拉/下拉</x:v>
      </x:c>
      <x:c r="D42" s="7" t="str">
        <x:v>0603; pins UNKNOWN</x:v>
      </x:c>
      <x:c r="E42" s="7" t="n">
        <x:v>89</x:v>
      </x:c>
      <x:c r="F42" s="10" t="n">
        <x:v>0.1</x:v>
      </x:c>
      <x:c r="G42" s="7" t="n">
        <x:f>ROUNDUP(E42*(1+F42),0)</x:f>
        <x:v>98</x:v>
      </x:c>
      <x:c r="H42" s="7" t="str">
        <x:v>DN_B054_001, DN_B054_002, DN_B054_003, DN_B054_004, DN_B054_005, DN_B054_006, DN_B054_007, DN_B054_008, DN_B054_009, DN_B054_010, DN_B054_011, DN_B054_012, DN_B054_013, DN_B054_014, DN_B054_015, DN_B054_016, DN_B054_017, DN_B054_018, DN_B054_019, DN_B054_020, DN_B054_021, DN_B054_022, DN_B054_023, DN_B054_024, DN_B054_025, DN_B054_026, DN_B054_027, DN_B054_028, DN_B054_029, DN_B054_030, DN_B054_031, DN_B054_032, DN_B054_033, DN_B054_034, DN_B054_035, DN_B054_036, DN_B054_037, DN_B054_038, DN_B054_039, DN_B054_040, DN_B054_041, DN_B054_042, DN_B054_043, DN_B054_044, DN_B054_045, DN_B054_046, DN_B054_047, DN_B054_048, DN_B054_049, DN_B054_050, DN_B054_051, DN_B054_052, DN_B054_053, DN_B054_054, DN_B054_055, DN_B054_056, DN_B054_057, DN_B054_058, DN_B054_059, DN_B054_060, DN_B054_061, DN_B054_062, DN_B054_063, DN_B054_064, DN_B054_065, DN_B054_066, DN_B054_067, DN_B054_068, DN_B054_069, DN_B054_070, DN_B054_071, DN_B054_072, DN_B054_073, DN_B054_074, DN_B054_075, DN_B054_076, DN_B054_077, DN_B054_078, DN_B054_079, DN_B054_080, DN_B054_081, DN_B054_082, DN_B054_083, DN_B054_084, DN_B054_085, DN_B054_086, DN_B054_087, DN_B054_088, DN_B054_089</x:v>
      </x:c>
      <x:c r="I42" s="7" t="str">
        <x:v>按原v5零件计数移植；新布板新增保护网路另计</x:v>
      </x:c>
      <x:c r="J42" s="7" t="str">
        <x:v>UNKNOWN</x:v>
      </x:c>
      <x:c r="K42" s="7" t="str">
        <x:v>https://github.com/loverlike1216/SonoField-FPGA/blob/main/v5/hardware/bom/BOM_MASTER.csv</x:v>
      </x:c>
      <x:c r="L42" s="7" t="str">
        <x:v>AUTHORIZED_VENDOR_NOT_SELECTED</x:v>
      </x:c>
      <x:c r="M42" s="7" t="str">
        <x:v>NOT_APPROVED_FOR_PROCUREMENT</x:v>
      </x:c>
      <x:c r="N42" s="7" t="str">
        <x:v>UNVERIFIED</x:v>
      </x:c>
      <x:c r="O42" s="7" t="str">
        <x:v>UNKNOWN</x:v>
      </x:c>
      <x:c r="P42" s="7" t="str">
        <x:v>Inherited candidate quantity; netlist/thermal review pending</x:v>
      </x:c>
    </x:row>
    <x:row r="43" ht="76" customHeight="1">
      <x:c r="A43" s="7" t="str">
        <x:v>B-055</x:v>
      </x:c>
      <x:c r="B43" s="7" t="str">
        <x:v>10kΩ 1%</x:v>
      </x:c>
      <x:c r="C43" s="7" t="str">
        <x:v>10kΩ上拉/下拉</x:v>
      </x:c>
      <x:c r="D43" s="7" t="str">
        <x:v>0603; pins UNKNOWN</x:v>
      </x:c>
      <x:c r="E43" s="7" t="n">
        <x:v>3</x:v>
      </x:c>
      <x:c r="F43" s="10" t="n">
        <x:v>0.1</x:v>
      </x:c>
      <x:c r="G43" s="7" t="n">
        <x:f>ROUNDUP(E43*(1+F43),0)</x:f>
        <x:v>4</x:v>
      </x:c>
      <x:c r="H43" s="7" t="str">
        <x:v>DN_B055_001, DN_B055_002, DN_B055_003</x:v>
      </x:c>
      <x:c r="I43" s="7" t="str">
        <x:v>按原v5零件计数移植；新布板新增保护网路另计</x:v>
      </x:c>
      <x:c r="J43" s="7" t="str">
        <x:v>UNKNOWN</x:v>
      </x:c>
      <x:c r="K43" s="7" t="str">
        <x:v>https://github.com/loverlike1216/SonoField-FPGA/blob/main/v5/hardware/bom/BOM_MASTER.csv</x:v>
      </x:c>
      <x:c r="L43" s="7" t="str">
        <x:v>AUTHORIZED_VENDOR_NOT_SELECTED</x:v>
      </x:c>
      <x:c r="M43" s="7" t="str">
        <x:v>NOT_APPROVED_FOR_PROCUREMENT</x:v>
      </x:c>
      <x:c r="N43" s="7" t="str">
        <x:v>UNVERIFIED</x:v>
      </x:c>
      <x:c r="O43" s="7" t="str">
        <x:v>UNKNOWN</x:v>
      </x:c>
      <x:c r="P43" s="7" t="str">
        <x:v>Inherited candidate quantity; netlist/thermal review pending</x:v>
      </x:c>
    </x:row>
    <x:row r="44" ht="76" customHeight="1">
      <x:c r="A44" s="7" t="str">
        <x:v>B-056</x:v>
      </x:c>
      <x:c r="B44" s="7" t="str">
        <x:v>4.7kΩ 1%</x:v>
      </x:c>
      <x:c r="C44" s="7" t="str">
        <x:v>4.7kΩ I²C上拉</x:v>
      </x:c>
      <x:c r="D44" s="7" t="str">
        <x:v>0603; pins UNKNOWN</x:v>
      </x:c>
      <x:c r="E44" s="7" t="n">
        <x:v>2</x:v>
      </x:c>
      <x:c r="F44" s="10" t="n">
        <x:v>0.1</x:v>
      </x:c>
      <x:c r="G44" s="7" t="n">
        <x:f>ROUNDUP(E44*(1+F44),0)</x:f>
        <x:v>3</x:v>
      </x:c>
      <x:c r="H44" s="7" t="str">
        <x:v>DN_B056_001, DN_B056_002</x:v>
      </x:c>
      <x:c r="I44" s="7" t="str">
        <x:v>按原v5零件计数移植；新布板新增保护网路另计</x:v>
      </x:c>
      <x:c r="J44" s="7" t="str">
        <x:v>UNKNOWN</x:v>
      </x:c>
      <x:c r="K44" s="7" t="str">
        <x:v>https://github.com/loverlike1216/SonoField-FPGA/blob/main/v5/hardware/bom/BOM_MASTER.csv</x:v>
      </x:c>
      <x:c r="L44" s="7" t="str">
        <x:v>AUTHORIZED_VENDOR_NOT_SELECTED</x:v>
      </x:c>
      <x:c r="M44" s="7" t="str">
        <x:v>NOT_APPROVED_FOR_PROCUREMENT</x:v>
      </x:c>
      <x:c r="N44" s="7" t="str">
        <x:v>UNVERIFIED</x:v>
      </x:c>
      <x:c r="O44" s="7" t="str">
        <x:v>UNKNOWN</x:v>
      </x:c>
      <x:c r="P44" s="7" t="str">
        <x:v>Inherited candidate quantity; netlist/thermal review pending</x:v>
      </x:c>
    </x:row>
    <x:row r="45" ht="76" customHeight="1">
      <x:c r="A45" s="7" t="str">
        <x:v>B-057</x:v>
      </x:c>
      <x:c r="B45" s="7" t="str">
        <x:v>1kΩ 1%</x:v>
      </x:c>
      <x:c r="C45" s="7" t="str">
        <x:v>1kΩ RX串联</x:v>
      </x:c>
      <x:c r="D45" s="7" t="str">
        <x:v>0603; pins UNKNOWN</x:v>
      </x:c>
      <x:c r="E45" s="7" t="n">
        <x:v>8</x:v>
      </x:c>
      <x:c r="F45" s="10" t="n">
        <x:v>0.1</x:v>
      </x:c>
      <x:c r="G45" s="7" t="n">
        <x:f>ROUNDUP(E45*(1+F45),0)</x:f>
        <x:v>9</x:v>
      </x:c>
      <x:c r="H45" s="7" t="str">
        <x:v>DN_B057_001, DN_B057_002, DN_B057_003, DN_B057_004, DN_B057_005, DN_B057_006, DN_B057_007, DN_B057_008</x:v>
      </x:c>
      <x:c r="I45" s="7" t="str">
        <x:v>按原v5零件计数移植；新布板新增保护网路另计</x:v>
      </x:c>
      <x:c r="J45" s="7" t="str">
        <x:v>UNKNOWN</x:v>
      </x:c>
      <x:c r="K45" s="7" t="str">
        <x:v>https://github.com/loverlike1216/SonoField-FPGA/blob/main/v5/hardware/bom/BOM_MASTER.csv</x:v>
      </x:c>
      <x:c r="L45" s="7" t="str">
        <x:v>AUTHORIZED_VENDOR_NOT_SELECTED</x:v>
      </x:c>
      <x:c r="M45" s="7" t="str">
        <x:v>NOT_APPROVED_FOR_PROCUREMENT</x:v>
      </x:c>
      <x:c r="N45" s="7" t="str">
        <x:v>UNVERIFIED</x:v>
      </x:c>
      <x:c r="O45" s="7" t="str">
        <x:v>UNKNOWN</x:v>
      </x:c>
      <x:c r="P45" s="7" t="str">
        <x:v>Inherited candidate quantity; netlist/thermal review pending</x:v>
      </x:c>
    </x:row>
    <x:row r="46" ht="76" customHeight="1">
      <x:c r="A46" s="7" t="str">
        <x:v>B-058</x:v>
      </x:c>
      <x:c r="B46" s="7" t="str">
        <x:v>47Ω 1%</x:v>
      </x:c>
      <x:c r="C46" s="7" t="str">
        <x:v>47Ω模拟阻尼</x:v>
      </x:c>
      <x:c r="D46" s="7" t="str">
        <x:v>0603; pins UNKNOWN</x:v>
      </x:c>
      <x:c r="E46" s="7" t="n">
        <x:v>4</x:v>
      </x:c>
      <x:c r="F46" s="10" t="n">
        <x:v>0.1</x:v>
      </x:c>
      <x:c r="G46" s="7" t="n">
        <x:f>ROUNDUP(E46*(1+F46),0)</x:f>
        <x:v>5</x:v>
      </x:c>
      <x:c r="H46" s="7" t="str">
        <x:v>DN_B058_001, DN_B058_002, DN_B058_003, DN_B058_004</x:v>
      </x:c>
      <x:c r="I46" s="7" t="str">
        <x:v>按原v5零件计数移植；新布板新增保护网路另计</x:v>
      </x:c>
      <x:c r="J46" s="7" t="str">
        <x:v>UNKNOWN</x:v>
      </x:c>
      <x:c r="K46" s="7" t="str">
        <x:v>https://github.com/loverlike1216/SonoField-FPGA/blob/main/v5/hardware/bom/BOM_MASTER.csv</x:v>
      </x:c>
      <x:c r="L46" s="7" t="str">
        <x:v>AUTHORIZED_VENDOR_NOT_SELECTED</x:v>
      </x:c>
      <x:c r="M46" s="7" t="str">
        <x:v>NOT_APPROVED_FOR_PROCUREMENT</x:v>
      </x:c>
      <x:c r="N46" s="7" t="str">
        <x:v>UNVERIFIED</x:v>
      </x:c>
      <x:c r="O46" s="7" t="str">
        <x:v>UNKNOWN</x:v>
      </x:c>
      <x:c r="P46" s="7" t="str">
        <x:v>Inherited candidate quantity; netlist/thermal review pending</x:v>
      </x:c>
    </x:row>
    <x:row r="47" ht="76" customHeight="1">
      <x:c r="A47" s="7" t="str">
        <x:v>B-059</x:v>
      </x:c>
      <x:c r="B47" s="7" t="str">
        <x:v>33Ω 1%</x:v>
      </x:c>
      <x:c r="C47" s="7" t="str">
        <x:v>33Ω高速阻尼</x:v>
      </x:c>
      <x:c r="D47" s="7" t="str">
        <x:v>0603; pins UNKNOWN</x:v>
      </x:c>
      <x:c r="E47" s="7" t="n">
        <x:v>8</x:v>
      </x:c>
      <x:c r="F47" s="10" t="n">
        <x:v>0.1</x:v>
      </x:c>
      <x:c r="G47" s="7" t="n">
        <x:f>ROUNDUP(E47*(1+F47),0)</x:f>
        <x:v>9</x:v>
      </x:c>
      <x:c r="H47" s="7" t="str">
        <x:v>DN_B059_001, DN_B059_002, DN_B059_003, DN_B059_004, DN_B059_005, DN_B059_006, DN_B059_007, DN_B059_008</x:v>
      </x:c>
      <x:c r="I47" s="7" t="str">
        <x:v>按原v5零件计数移植；新布板新增保护网路另计</x:v>
      </x:c>
      <x:c r="J47" s="7" t="str">
        <x:v>UNKNOWN</x:v>
      </x:c>
      <x:c r="K47" s="7" t="str">
        <x:v>https://github.com/loverlike1216/SonoField-FPGA/blob/main/v5/hardware/bom/BOM_MASTER.csv</x:v>
      </x:c>
      <x:c r="L47" s="7" t="str">
        <x:v>AUTHORIZED_VENDOR_NOT_SELECTED</x:v>
      </x:c>
      <x:c r="M47" s="7" t="str">
        <x:v>NOT_APPROVED_FOR_PROCUREMENT</x:v>
      </x:c>
      <x:c r="N47" s="7" t="str">
        <x:v>UNVERIFIED</x:v>
      </x:c>
      <x:c r="O47" s="7" t="str">
        <x:v>UNKNOWN</x:v>
      </x:c>
      <x:c r="P47" s="7" t="str">
        <x:v>Inherited candidate quantity; netlist/thermal review pending</x:v>
      </x:c>
    </x:row>
    <x:row r="48" ht="76" customHeight="1">
      <x:c r="A48" s="7" t="str">
        <x:v>B-060</x:v>
      </x:c>
      <x:c r="B48" s="7" t="str">
        <x:v>10Ω 1%</x:v>
      </x:c>
      <x:c r="C48" s="7" t="str">
        <x:v>10Ω监测滤波</x:v>
      </x:c>
      <x:c r="D48" s="7" t="str">
        <x:v>0603; pins UNKNOWN</x:v>
      </x:c>
      <x:c r="E48" s="7" t="n">
        <x:v>2</x:v>
      </x:c>
      <x:c r="F48" s="10" t="n">
        <x:v>0.1</x:v>
      </x:c>
      <x:c r="G48" s="7" t="n">
        <x:f>ROUNDUP(E48*(1+F48),0)</x:f>
        <x:v>3</x:v>
      </x:c>
      <x:c r="H48" s="7" t="str">
        <x:v>DN_B060_001, DN_B060_002</x:v>
      </x:c>
      <x:c r="I48" s="7" t="str">
        <x:v>按原v5零件计数移植；新布板新增保护网路另计</x:v>
      </x:c>
      <x:c r="J48" s="7" t="str">
        <x:v>UNKNOWN</x:v>
      </x:c>
      <x:c r="K48" s="7" t="str">
        <x:v>https://github.com/loverlike1216/SonoField-FPGA/blob/main/v5/hardware/bom/BOM_MASTER.csv</x:v>
      </x:c>
      <x:c r="L48" s="7" t="str">
        <x:v>AUTHORIZED_VENDOR_NOT_SELECTED</x:v>
      </x:c>
      <x:c r="M48" s="7" t="str">
        <x:v>NOT_APPROVED_FOR_PROCUREMENT</x:v>
      </x:c>
      <x:c r="N48" s="7" t="str">
        <x:v>UNVERIFIED</x:v>
      </x:c>
      <x:c r="O48" s="7" t="str">
        <x:v>UNKNOWN</x:v>
      </x:c>
      <x:c r="P48" s="7" t="str">
        <x:v>Inherited candidate quantity; netlist/thermal review pending</x:v>
      </x:c>
    </x:row>
    <x:row r="49" ht="204" customHeight="1">
      <x:c r="A49" s="7" t="str">
        <x:v>B-061</x:v>
      </x:c>
      <x:c r="B49" s="7" t="str">
        <x:v>0Ω 0603</x:v>
      </x:c>
      <x:c r="C49" s="7" t="str">
        <x:v>0Ω通道选择跳线</x:v>
      </x:c>
      <x:c r="D49" s="7" t="str">
        <x:v>0603; pins UNKNOWN</x:v>
      </x:c>
      <x:c r="E49" s="7" t="n">
        <x:v>68</x:v>
      </x:c>
      <x:c r="F49" s="10" t="n">
        <x:v>0.1</x:v>
      </x:c>
      <x:c r="G49" s="7" t="n">
        <x:f>ROUNDUP(E49*(1+F49),0)</x:f>
        <x:v>75</x:v>
      </x:c>
      <x:c r="H49" s="7" t="str">
        <x:v>DN_B061_001, DN_B061_002, DN_B061_003, DN_B061_004, DN_B061_005, DN_B061_006, DN_B061_007, DN_B061_008, DN_B061_009, DN_B061_010, DN_B061_011, DN_B061_012, DN_B061_013, DN_B061_014, DN_B061_015, DN_B061_016, DN_B061_017, DN_B061_018, DN_B061_019, DN_B061_020, DN_B061_021, DN_B061_022, DN_B061_023, DN_B061_024, DN_B061_025, DN_B061_026, DN_B061_027, DN_B061_028, DN_B061_029, DN_B061_030, DN_B061_031, DN_B061_032, DN_B061_033, DN_B061_034, DN_B061_035, DN_B061_036, DN_B061_037, DN_B061_038, DN_B061_039, DN_B061_040, DN_B061_041, DN_B061_042, DN_B061_043, DN_B061_044, DN_B061_045, DN_B061_046, DN_B061_047, DN_B061_048, DN_B061_049, DN_B061_050, DN_B061_051, DN_B061_052, DN_B061_053, DN_B061_054, DN_B061_055, DN_B061_056, DN_B061_057, DN_B061_058, DN_B061_059, DN_B061_060, DN_B061_061, DN_B061_062, DN_B061_063, DN_B061_064, DN_B061_065, DN_B061_066, DN_B061_067, DN_B061_068</x:v>
      </x:c>
      <x:c r="I49" s="7" t="str">
        <x:v>按原v5零件计数移植；新布板新增保护网路另计</x:v>
      </x:c>
      <x:c r="J49" s="7" t="str">
        <x:v>UNKNOWN</x:v>
      </x:c>
      <x:c r="K49" s="7" t="str">
        <x:v>https://github.com/loverlike1216/SonoField-FPGA/blob/main/v5/hardware/bom/BOM_MASTER.csv</x:v>
      </x:c>
      <x:c r="L49" s="7" t="str">
        <x:v>AUTHORIZED_VENDOR_NOT_SELECTED</x:v>
      </x:c>
      <x:c r="M49" s="7" t="str">
        <x:v>NOT_APPROVED_FOR_PROCUREMENT</x:v>
      </x:c>
      <x:c r="N49" s="7" t="str">
        <x:v>UNVERIFIED</x:v>
      </x:c>
      <x:c r="O49" s="7" t="str">
        <x:v>UNKNOWN</x:v>
      </x:c>
      <x:c r="P49" s="7" t="str">
        <x:v>Inherited candidate quantity; netlist/thermal review pending</x:v>
      </x:c>
    </x:row>
    <x:row r="50" ht="76" customHeight="1">
      <x:c r="A50" s="7" t="str">
        <x:v>B-062</x:v>
      </x:c>
      <x:c r="B50" s="7" t="str">
        <x:v>1.65kΩ 1%</x:v>
      </x:c>
      <x:c r="C50" s="7" t="str">
        <x:v>1.65kΩ限流编程</x:v>
      </x:c>
      <x:c r="D50" s="7" t="str">
        <x:v>0603; pins UNKNOWN</x:v>
      </x:c>
      <x:c r="E50" s="7" t="n">
        <x:v>1</x:v>
      </x:c>
      <x:c r="F50" s="10" t="n">
        <x:v>0.1</x:v>
      </x:c>
      <x:c r="G50" s="7" t="n">
        <x:f>ROUNDUP(E50*(1+F50),0)</x:f>
        <x:v>2</x:v>
      </x:c>
      <x:c r="H50" s="7" t="str">
        <x:v>DN_B062_001</x:v>
      </x:c>
      <x:c r="I50" s="7" t="str">
        <x:v>1.65kΩ→约2.02A标称；不是5.5A</x:v>
      </x:c>
      <x:c r="J50" s="7" t="str">
        <x:v>UNKNOWN</x:v>
      </x:c>
      <x:c r="K50" s="7" t="str">
        <x:v>https://github.com/loverlike1216/SonoField-FPGA/blob/main/v5/hardware/bom/BOM_MASTER.csv</x:v>
      </x:c>
      <x:c r="L50" s="7" t="str">
        <x:v>AUTHORIZED_VENDOR_NOT_SELECTED</x:v>
      </x:c>
      <x:c r="M50" s="7" t="str">
        <x:v>NOT_APPROVED_FOR_PROCUREMENT</x:v>
      </x:c>
      <x:c r="N50" s="7" t="str">
        <x:v>UNVERIFIED</x:v>
      </x:c>
      <x:c r="O50" s="7" t="str">
        <x:v>UNKNOWN</x:v>
      </x:c>
      <x:c r="P50" s="7" t="str">
        <x:v>Inherited candidate quantity; netlist/thermal review pending</x:v>
      </x:c>
    </x:row>
    <x:row r="51" ht="76" customHeight="1">
      <x:c r="A51" s="7" t="str">
        <x:v>B-063</x:v>
      </x:c>
      <x:c r="B51" s="7" t="str">
        <x:v>1.37MΩ 1%</x:v>
      </x:c>
      <x:c r="C51" s="7" t="str">
        <x:v>1.37MΩ过压编程</x:v>
      </x:c>
      <x:c r="D51" s="7" t="str">
        <x:v>0603; pins UNKNOWN</x:v>
      </x:c>
      <x:c r="E51" s="7" t="n">
        <x:v>1</x:v>
      </x:c>
      <x:c r="F51" s="10" t="n">
        <x:v>0.1</x:v>
      </x:c>
      <x:c r="G51" s="7" t="n">
        <x:f>ROUNDUP(E51*(1+F51),0)</x:f>
        <x:v>2</x:v>
      </x:c>
      <x:c r="H51" s="7" t="str">
        <x:v>DN_B063_001</x:v>
      </x:c>
      <x:c r="I51" s="7" t="str">
        <x:v>按原v5零件计数移植；新布板新增保护网路另计</x:v>
      </x:c>
      <x:c r="J51" s="7" t="str">
        <x:v>UNKNOWN</x:v>
      </x:c>
      <x:c r="K51" s="7" t="str">
        <x:v>https://github.com/loverlike1216/SonoField-FPGA/blob/main/v5/hardware/bom/BOM_MASTER.csv</x:v>
      </x:c>
      <x:c r="L51" s="7" t="str">
        <x:v>AUTHORIZED_VENDOR_NOT_SELECTED</x:v>
      </x:c>
      <x:c r="M51" s="7" t="str">
        <x:v>NOT_APPROVED_FOR_PROCUREMENT</x:v>
      </x:c>
      <x:c r="N51" s="7" t="str">
        <x:v>UNVERIFIED</x:v>
      </x:c>
      <x:c r="O51" s="7" t="str">
        <x:v>UNKNOWN</x:v>
      </x:c>
      <x:c r="P51" s="7" t="str">
        <x:v>Inherited candidate quantity; netlist/thermal review pending</x:v>
      </x:c>
    </x:row>
    <x:row r="52" ht="76" customHeight="1">
      <x:c r="A52" s="7" t="str">
        <x:v>B-064</x:v>
      </x:c>
      <x:c r="B52" s="7" t="str">
        <x:v>590kΩ 1%</x:v>
      </x:c>
      <x:c r="C52" s="7" t="str">
        <x:v>590kΩ反馈</x:v>
      </x:c>
      <x:c r="D52" s="7" t="str">
        <x:v>0603; pins UNKNOWN</x:v>
      </x:c>
      <x:c r="E52" s="7" t="n">
        <x:v>1</x:v>
      </x:c>
      <x:c r="F52" s="10" t="n">
        <x:v>0.1</x:v>
      </x:c>
      <x:c r="G52" s="7" t="n">
        <x:f>ROUNDUP(E52*(1+F52),0)</x:f>
        <x:v>2</x:v>
      </x:c>
      <x:c r="H52" s="7" t="str">
        <x:v>DN_B064_001</x:v>
      </x:c>
      <x:c r="I52" s="7" t="str">
        <x:v>按原v5零件计数移植；新布板新增保护网路另计</x:v>
      </x:c>
      <x:c r="J52" s="7" t="str">
        <x:v>UNKNOWN</x:v>
      </x:c>
      <x:c r="K52" s="7" t="str">
        <x:v>https://github.com/loverlike1216/SonoField-FPGA/blob/main/v5/hardware/bom/BOM_MASTER.csv</x:v>
      </x:c>
      <x:c r="L52" s="7" t="str">
        <x:v>AUTHORIZED_VENDOR_NOT_SELECTED</x:v>
      </x:c>
      <x:c r="M52" s="7" t="str">
        <x:v>NOT_APPROVED_FOR_PROCUREMENT</x:v>
      </x:c>
      <x:c r="N52" s="7" t="str">
        <x:v>UNVERIFIED</x:v>
      </x:c>
      <x:c r="O52" s="7" t="str">
        <x:v>UNKNOWN</x:v>
      </x:c>
      <x:c r="P52" s="7" t="str">
        <x:v>Inherited candidate quantity; netlist/thermal review pending</x:v>
      </x:c>
    </x:row>
    <x:row r="53" ht="76" customHeight="1">
      <x:c r="A53" s="7" t="str">
        <x:v>B-065</x:v>
      </x:c>
      <x:c r="B53" s="7" t="str">
        <x:v>100kΩ 0.1%</x:v>
      </x:c>
      <x:c r="C53" s="7" t="str">
        <x:v>100kΩ高精度反馈</x:v>
      </x:c>
      <x:c r="D53" s="7" t="str">
        <x:v>0603; pins UNKNOWN</x:v>
      </x:c>
      <x:c r="E53" s="7" t="n">
        <x:v>4</x:v>
      </x:c>
      <x:c r="F53" s="10" t="n">
        <x:v>0.1</x:v>
      </x:c>
      <x:c r="G53" s="7" t="n">
        <x:f>ROUNDUP(E53*(1+F53),0)</x:f>
        <x:v>5</x:v>
      </x:c>
      <x:c r="H53" s="7" t="str">
        <x:v>DN_B065_001, DN_B065_002, DN_B065_003, DN_B065_004</x:v>
      </x:c>
      <x:c r="I53" s="7" t="str">
        <x:v>按原v5零件计数移植；新布板新增保护网路另计</x:v>
      </x:c>
      <x:c r="J53" s="7" t="str">
        <x:v>UNKNOWN</x:v>
      </x:c>
      <x:c r="K53" s="7" t="str">
        <x:v>https://github.com/loverlike1216/SonoField-FPGA/blob/main/v5/hardware/bom/BOM_MASTER.csv</x:v>
      </x:c>
      <x:c r="L53" s="7" t="str">
        <x:v>AUTHORIZED_VENDOR_NOT_SELECTED</x:v>
      </x:c>
      <x:c r="M53" s="7" t="str">
        <x:v>NOT_APPROVED_FOR_PROCUREMENT</x:v>
      </x:c>
      <x:c r="N53" s="7" t="str">
        <x:v>UNVERIFIED</x:v>
      </x:c>
      <x:c r="O53" s="7" t="str">
        <x:v>UNKNOWN</x:v>
      </x:c>
      <x:c r="P53" s="7" t="str">
        <x:v>Inherited candidate quantity; netlist/thermal review pending</x:v>
      </x:c>
    </x:row>
    <x:row r="54" ht="76" customHeight="1">
      <x:c r="A54" s="7" t="str">
        <x:v>B-066</x:v>
      </x:c>
      <x:c r="B54" s="7" t="str">
        <x:v>10kΩ 0.1%</x:v>
      </x:c>
      <x:c r="C54" s="7" t="str">
        <x:v>10kΩ高精度反馈</x:v>
      </x:c>
      <x:c r="D54" s="7" t="str">
        <x:v>0603; pins UNKNOWN</x:v>
      </x:c>
      <x:c r="E54" s="7" t="n">
        <x:v>12</x:v>
      </x:c>
      <x:c r="F54" s="10" t="n">
        <x:v>0.1</x:v>
      </x:c>
      <x:c r="G54" s="7" t="n">
        <x:f>ROUNDUP(E54*(1+F54),0)</x:f>
        <x:v>14</x:v>
      </x:c>
      <x:c r="H54" s="7" t="str">
        <x:v>DN_B066_001, DN_B066_002, DN_B066_003, DN_B066_004, DN_B066_005, DN_B066_006, DN_B066_007, DN_B066_008, DN_B066_009, DN_B066_010, DN_B066_011, DN_B066_012</x:v>
      </x:c>
      <x:c r="I54" s="7" t="str">
        <x:v>按原v5零件计数移植；新布板新增保护网路另计</x:v>
      </x:c>
      <x:c r="J54" s="7" t="str">
        <x:v>UNKNOWN</x:v>
      </x:c>
      <x:c r="K54" s="7" t="str">
        <x:v>https://github.com/loverlike1216/SonoField-FPGA/blob/main/v5/hardware/bom/BOM_MASTER.csv</x:v>
      </x:c>
      <x:c r="L54" s="7" t="str">
        <x:v>AUTHORIZED_VENDOR_NOT_SELECTED</x:v>
      </x:c>
      <x:c r="M54" s="7" t="str">
        <x:v>NOT_APPROVED_FOR_PROCUREMENT</x:v>
      </x:c>
      <x:c r="N54" s="7" t="str">
        <x:v>UNVERIFIED</x:v>
      </x:c>
      <x:c r="O54" s="7" t="str">
        <x:v>UNKNOWN</x:v>
      </x:c>
      <x:c r="P54" s="7" t="str">
        <x:v>Inherited candidate quantity; netlist/thermal review pending</x:v>
      </x:c>
    </x:row>
    <x:row r="55" ht="76" customHeight="1">
      <x:c r="A55" s="7" t="str">
        <x:v>B-069</x:v>
      </x:c>
      <x:c r="B55" s="7" t="str">
        <x:v>130×130mm 4L 1.6mm FR4候选</x:v>
      </x:c>
      <x:c r="C55" s="7" t="str">
        <x:v>4层阵列PCB</x:v>
      </x:c>
      <x:c r="D55" s="7" t="str">
        <x:v>PCB; pins UNKNOWN</x:v>
      </x:c>
      <x:c r="E55" s="7" t="n">
        <x:v>1</x:v>
      </x:c>
      <x:c r="F55" s="10" t="n">
        <x:v>0.1</x:v>
      </x:c>
      <x:c r="G55" s="7" t="n">
        <x:f>ROUNDUP(E55*(1+F55),0)</x:f>
        <x:v>2</x:v>
      </x:c>
      <x:c r="H55" s="7" t="str">
        <x:v>DN_B069_001</x:v>
      </x:c>
      <x:c r="I55" s="7" t="str">
        <x:v>单板64 TX+4RX+驱动/AFE；空间布局受限需密度审查</x:v>
      </x:c>
      <x:c r="J55" s="7" t="str">
        <x:v>UNKNOWN</x:v>
      </x:c>
      <x:c r="K55" s="7" t="str">
        <x:v>https://jlcpcb.com</x:v>
      </x:c>
      <x:c r="L55" s="7" t="str">
        <x:v>AUTHORIZED_VENDOR_NOT_SELECTED</x:v>
      </x:c>
      <x:c r="M55" s="7" t="str">
        <x:v>NOT_APPROVED_FOR_PROCUREMENT</x:v>
      </x:c>
      <x:c r="N55" s="7" t="str">
        <x:v>UNVERIFIED</x:v>
      </x:c>
      <x:c r="O55" s="7" t="str">
        <x:v>UNKNOWN</x:v>
      </x:c>
      <x:c r="P55" s="7" t="str">
        <x:v>One shared array PCB, opposite assembly orientation; 64TX +4outsideRX, hole/clearance not released</x:v>
      </x:c>
    </x:row>
    <x:row r="56" ht="76" customHeight="1">
      <x:c r="A56" s="7" t="str">
        <x:v>PC-002</x:v>
      </x:c>
      <x:c r="B56" s="7" t="str">
        <x:v>PART_SELECTION_HOLD</x:v>
      </x:c>
      <x:c r="C56" s="7" t="str">
        <x:v>Driver hotspot independent comparator</x:v>
      </x:c>
      <x:c r="D56" s="7" t="str">
        <x:v>HOLD; pins UNKNOWN</x:v>
      </x:c>
      <x:c r="E56" s="7" t="n">
        <x:v>1</x:v>
      </x:c>
      <x:c r="F56" s="10" t="n">
        <x:v>0.1</x:v>
      </x:c>
      <x:c r="G56" s="7" t="n">
        <x:f>ROUNDUP(E56*(1+F56),0)</x:f>
        <x:v>2</x:v>
      </x:c>
      <x:c r="H56" s="7" t="str">
        <x:v>DN_PC002_001</x:v>
      </x:c>
      <x:c r="I56" s="7" t="str">
        <x:v>CANDIDATE_REVIEW_REQUIRED</x:v>
      </x:c>
      <x:c r="J56" s="7" t="str">
        <x:v>UNKNOWN</x:v>
      </x:c>
      <x:c r="K56" s="7" t="str">
        <x:v>USER_SAFETY_REQUIREMENT</x:v>
      </x:c>
      <x:c r="L56" s="7" t="str">
        <x:v>NOT_SELECTED</x:v>
      </x:c>
      <x:c r="M56" s="7" t="str">
        <x:v>NOT_APPROVED_FOR_PROCUREMENT</x:v>
      </x:c>
      <x:c r="N56" s="7" t="str">
        <x:v>UNVERIFIED</x:v>
      </x:c>
      <x:c r="O56" s="7" t="str">
        <x:v>UNKNOWN</x:v>
      </x:c>
      <x:c r="P56" s="7" t="str">
        <x:v>Electrical/thermal qualification HOLD</x:v>
      </x:c>
    </x:row>
    <x:row r="57" ht="76" customHeight="1">
      <x:c r="A57" s="7" t="str">
        <x:v>NS-001</x:v>
      </x:c>
      <x:c r="B57" s="7" t="str">
        <x:v>PART_SELECTION_HOLD</x:v>
      </x:c>
      <x:c r="C57" s="7" t="str">
        <x:v>Independent NC estop safety loop connector</x:v>
      </x:c>
      <x:c r="D57" s="7" t="str">
        <x:v>UNKNOWN; pins UNKNOWN</x:v>
      </x:c>
      <x:c r="E57" s="7" t="n">
        <x:v>1</x:v>
      </x:c>
      <x:c r="F57" s="10" t="n">
        <x:v>0.1</x:v>
      </x:c>
      <x:c r="G57" s="7" t="n">
        <x:f>ROUNDUP(E57*(1+F57),0)</x:f>
        <x:v>2</x:v>
      </x:c>
      <x:c r="H57" s="7" t="str">
        <x:v>DN_NS001_001</x:v>
      </x:c>
      <x:c r="I57" s="7" t="str">
        <x:v>LOGIC/12V_DOMAIN_REVIEW</x:v>
      </x:c>
      <x:c r="J57" s="7" t="str">
        <x:v>UNKNOWN</x:v>
      </x:c>
      <x:c r="K57" s="7" t="str">
        <x:v>Current user GateC3/D1</x:v>
      </x:c>
      <x:c r="L57" s="7" t="str">
        <x:v>NOT_SELECTED</x:v>
      </x:c>
      <x:c r="M57" s="7" t="str">
        <x:v>PROPOSED_HOLD</x:v>
      </x:c>
      <x:c r="N57" s="7" t="str">
        <x:v>UNVERIFIED</x:v>
      </x:c>
      <x:c r="O57" s="7" t="str">
        <x:v>UNKNOWN</x:v>
      </x:c>
      <x:c r="P57" s="7" t="str">
        <x:v>Power-loss/cable/unpowered/clock-stop physical injection required</x:v>
      </x:c>
    </x:row>
    <x:row r="58" ht="76" customHeight="1">
      <x:c r="A58" s="7" t="str">
        <x:v>NS-002</x:v>
      </x:c>
      <x:c r="B58" s="7" t="str">
        <x:v>PART_SELECTION_HOLD</x:v>
      </x:c>
      <x:c r="C58" s="7" t="str">
        <x:v>Independent thermal comparator and threshold network</x:v>
      </x:c>
      <x:c r="D58" s="7" t="str">
        <x:v>UNKNOWN; pins UNKNOWN</x:v>
      </x:c>
      <x:c r="E58" s="7" t="n">
        <x:v>1</x:v>
      </x:c>
      <x:c r="F58" s="10" t="n">
        <x:v>0.1</x:v>
      </x:c>
      <x:c r="G58" s="7" t="n">
        <x:f>ROUNDUP(E58*(1+F58),0)</x:f>
        <x:v>2</x:v>
      </x:c>
      <x:c r="H58" s="7" t="str">
        <x:v>DN_NS002_001</x:v>
      </x:c>
      <x:c r="I58" s="7" t="str">
        <x:v>LOGIC/12V_DOMAIN_REVIEW</x:v>
      </x:c>
      <x:c r="J58" s="7" t="str">
        <x:v>UNKNOWN</x:v>
      </x:c>
      <x:c r="K58" s="7" t="str">
        <x:v>Current user GateC3/D1</x:v>
      </x:c>
      <x:c r="L58" s="7" t="str">
        <x:v>NOT_SELECTED</x:v>
      </x:c>
      <x:c r="M58" s="7" t="str">
        <x:v>PROPOSED_HOLD</x:v>
      </x:c>
      <x:c r="N58" s="7" t="str">
        <x:v>UNVERIFIED</x:v>
      </x:c>
      <x:c r="O58" s="7" t="str">
        <x:v>UNKNOWN</x:v>
      </x:c>
      <x:c r="P58" s="7" t="str">
        <x:v>Power-loss/cable/unpowered/clock-stop physical injection required</x:v>
      </x:c>
    </x:row>
    <x:row r="59" ht="76" customHeight="1">
      <x:c r="A59" s="7" t="str">
        <x:v>NS-003</x:v>
      </x:c>
      <x:c r="B59" s="7" t="str">
        <x:v>PART_SELECTION_HOLD</x:v>
      </x:c>
      <x:c r="C59" s="7" t="str">
        <x:v>Cold-start/rearm latch and power-good AND cutoff controller</x:v>
      </x:c>
      <x:c r="D59" s="7" t="str">
        <x:v>UNKNOWN; pins UNKNOWN</x:v>
      </x:c>
      <x:c r="E59" s="7" t="n">
        <x:v>1</x:v>
      </x:c>
      <x:c r="F59" s="10" t="n">
        <x:v>0.1</x:v>
      </x:c>
      <x:c r="G59" s="7" t="n">
        <x:f>ROUNDUP(E59*(1+F59),0)</x:f>
        <x:v>2</x:v>
      </x:c>
      <x:c r="H59" s="7" t="str">
        <x:v>DN_NS003_001</x:v>
      </x:c>
      <x:c r="I59" s="7" t="str">
        <x:v>LOGIC/12V_DOMAIN_REVIEW</x:v>
      </x:c>
      <x:c r="J59" s="7" t="str">
        <x:v>UNKNOWN</x:v>
      </x:c>
      <x:c r="K59" s="7" t="str">
        <x:v>Current user GateC3/D1</x:v>
      </x:c>
      <x:c r="L59" s="7" t="str">
        <x:v>NOT_SELECTED</x:v>
      </x:c>
      <x:c r="M59" s="7" t="str">
        <x:v>PROPOSED_HOLD</x:v>
      </x:c>
      <x:c r="N59" s="7" t="str">
        <x:v>UNVERIFIED</x:v>
      </x:c>
      <x:c r="O59" s="7" t="str">
        <x:v>UNKNOWN</x:v>
      </x:c>
      <x:c r="P59" s="7" t="str">
        <x:v>Power-loss/cable/unpowered/clock-stop physical injection required</x:v>
      </x:c>
    </x:row>
    <x:row r="60" ht="76" customHeight="1">
      <x:c r="A60" s="7" t="str">
        <x:v>NS-004</x:v>
      </x:c>
      <x:c r="B60" s="7" t="str">
        <x:v>PART_SELECTION_HOLD</x:v>
      </x:c>
      <x:c r="C60" s="7" t="str">
        <x:v>Driver rail discharge/bleed and reset default-off network</x:v>
      </x:c>
      <x:c r="D60" s="7" t="str">
        <x:v>UNKNOWN; pins UNKNOWN</x:v>
      </x:c>
      <x:c r="E60" s="7" t="n">
        <x:v>1</x:v>
      </x:c>
      <x:c r="F60" s="10" t="n">
        <x:v>0.1</x:v>
      </x:c>
      <x:c r="G60" s="7" t="n">
        <x:f>ROUNDUP(E60*(1+F60),0)</x:f>
        <x:v>2</x:v>
      </x:c>
      <x:c r="H60" s="7" t="str">
        <x:v>DN_NS004_001</x:v>
      </x:c>
      <x:c r="I60" s="7" t="str">
        <x:v>LOGIC/12V_DOMAIN_REVIEW</x:v>
      </x:c>
      <x:c r="J60" s="7" t="str">
        <x:v>UNKNOWN</x:v>
      </x:c>
      <x:c r="K60" s="7" t="str">
        <x:v>Current user GateC3/D1</x:v>
      </x:c>
      <x:c r="L60" s="7" t="str">
        <x:v>NOT_SELECTED</x:v>
      </x:c>
      <x:c r="M60" s="7" t="str">
        <x:v>PROPOSED_HOLD</x:v>
      </x:c>
      <x:c r="N60" s="7" t="str">
        <x:v>UNVERIFIED</x:v>
      </x:c>
      <x:c r="O60" s="7" t="str">
        <x:v>UNKNOWN</x:v>
      </x:c>
      <x:c r="P60" s="7" t="str">
        <x:v>Power-loss/cable/unpowered/clock-stop physical injection required</x:v>
      </x:c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  <x:tableParts count="1">
    <x:tablePart xmlns:r="http://schemas.openxmlformats.org/officeDocument/2006/relationships" r:id="R370162ef90ca43a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40" hidden="0" customWidth="1"/>
    <x:col min="4" max="4" width="46" hidden="0" customWidth="1"/>
    <x:col min="5" max="5" width="11" hidden="0" customWidth="1"/>
    <x:col min="6" max="6" width="12" hidden="0" customWidth="1"/>
    <x:col min="7" max="7" width="12" hidden="0" customWidth="1"/>
    <x:col min="8" max="8" width="70" hidden="0" customWidth="1"/>
    <x:col min="9" max="9" width="48" hidden="0" customWidth="1"/>
    <x:col min="10" max="10" width="22" hidden="0" customWidth="1"/>
    <x:col min="11" max="11" width="58" hidden="0" customWidth="1"/>
    <x:col min="12" max="12" width="28" hidden="0" customWidth="1"/>
    <x:col min="13" max="13" width="48" hidden="0" customWidth="1"/>
    <x:col min="14" max="14" width="26" hidden="0" customWidth="1"/>
    <x:col min="15" max="15" width="16" hidden="0" customWidth="1"/>
    <x:col min="16" max="16" width="9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9" t="str">
        <x:v>Central - PROPOSED WORKING; ELECTRICAL HOLD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8" customHeight="1">
      <x:c r="A4" s="8" t="str">
        <x:v>ID</x:v>
      </x:c>
      <x:c r="B4" s="8" t="str">
        <x:v>MPN / family</x:v>
      </x:c>
      <x:c r="C4" s="8" t="str">
        <x:v>Description</x:v>
      </x:c>
      <x:c r="D4" s="8" t="str">
        <x:v>Package / pins</x:v>
      </x:c>
      <x:c r="E4" s="8" t="str">
        <x:v>Installed</x:v>
      </x:c>
      <x:c r="F4" s="8" t="str">
        <x:v>Spare fraction</x:v>
      </x:c>
      <x:c r="G4" s="8" t="str">
        <x:v>Planned qty</x:v>
      </x:c>
      <x:c r="H4" s="8" t="str">
        <x:v>References</x:v>
      </x:c>
      <x:c r="I4" s="8" t="str">
        <x:v>Supply / rating</x:v>
      </x:c>
      <x:c r="J4" s="8" t="str">
        <x:v>Current A (scope in risk)</x:v>
      </x:c>
      <x:c r="K4" s="8" t="str">
        <x:v>Source</x:v>
      </x:c>
      <x:c r="L4" s="8" t="str">
        <x:v>Supplier</x:v>
      </x:c>
      <x:c r="M4" s="8" t="str">
        <x:v>Approval</x:v>
      </x:c>
      <x:c r="N4" s="8" t="str">
        <x:v>Footprint verification</x:v>
      </x:c>
      <x:c r="O4" s="8" t="str">
        <x:v>Price CNY</x:v>
      </x:c>
      <x:c r="P4" s="8" t="str">
        <x:v>Alternative / required evidence</x:v>
      </x:c>
    </x:row>
    <x:row r="5" ht="76" customHeight="1">
      <x:c r="A5" s="7" t="str">
        <x:v>B-005</x:v>
      </x:c>
      <x:c r="B5" s="7" t="str">
        <x:v>SN74AXC8T245PWR</x:v>
      </x:c>
      <x:c r="C5" s="7" t="str">
        <x:v>8位双电源电平转换</x:v>
      </x:c>
      <x:c r="D5" s="7" t="str">
        <x:v>TSSOP-24; pins UNKNOWN</x:v>
      </x:c>
      <x:c r="E5" s="7" t="n">
        <x:v>2</x:v>
      </x:c>
      <x:c r="F5" s="10" t="n">
        <x:v>0.1</x:v>
      </x:c>
      <x:c r="G5" s="7" t="n">
        <x:f>ROUNDUP(E5*(1+F5),0)</x:f>
        <x:v>3</x:v>
      </x:c>
      <x:c r="H5" s="7" t="str">
        <x:v>CE_B005_001, CE_B005_002</x:v>
      </x:c>
      <x:c r="I5" s="7" t="str">
        <x:v>VCCA/VCCB均不得大于3.6V；根据VCCO放置与计算数量</x:v>
      </x:c>
      <x:c r="J5" s="7" t="str">
        <x:v>UNKNOWN</x:v>
      </x:c>
      <x:c r="K5" s="7" t="str">
        <x:v>https://www.ti.com/product/SN74AXC8T245</x:v>
      </x:c>
      <x:c r="L5" s="7" t="str">
        <x:v>AUTHORIZED_VENDOR_NOT_SELECTED</x:v>
      </x:c>
      <x:c r="M5" s="7" t="str">
        <x:v>NOT_APPROVED_FOR_PROCUREMENT</x:v>
      </x:c>
      <x:c r="N5" s="7" t="str">
        <x:v>UNVERIFIED</x:v>
      </x:c>
      <x:c r="O5" s="7" t="str">
        <x:v>UNKNOWN</x:v>
      </x:c>
      <x:c r="P5" s="7" t="str">
        <x:v>Inherited candidate quantity; netlist/thermal review pending</x:v>
      </x:c>
    </x:row>
    <x:row r="6" ht="76" customHeight="1">
      <x:c r="A6" s="7" t="str">
        <x:v>B-014</x:v>
      </x:c>
      <x:c r="B6" s="7" t="str">
        <x:v>AD7606C-16BSTZ-RL</x:v>
      </x:c>
      <x:c r="C6" s="7" t="str">
        <x:v>8通道同步16bit ADC</x:v>
      </x:c>
      <x:c r="D6" s="7" t="str">
        <x:v>LQFP64 ST-64-2; Pin1/native footprint/order suffix HOLD; pins 64</x:v>
      </x:c>
      <x:c r="E6" s="7" t="n">
        <x:v>1</x:v>
      </x:c>
      <x:c r="F6" s="10" t="n">
        <x:v>0.1</x:v>
      </x:c>
      <x:c r="G6" s="7" t="n">
        <x:f>ROUNDUP(E6*(1+F6),0)</x:f>
        <x:v>2</x:v>
      </x:c>
      <x:c r="H6" s="7" t="str">
        <x:v>CE_B014_001</x:v>
      </x:c>
      <x:c r="I6" s="7" t="str">
        <x:v>AVCC4.75..5.25V; VDRIVE3V3 candidate; highBW220kHz +/-5VSE</x:v>
      </x:c>
      <x:c r="J6" s="7" t="n">
        <x:v>0.05</x:v>
      </x:c>
      <x:c r="K6" s="7" t="str">
        <x:v>https://www.analog.com/media/en/technical-documentation/data-sheets/ad7606c-16.pdf</x:v>
      </x:c>
      <x:c r="L6" s="7" t="str">
        <x:v>AUTHORIZED_VENDOR_NOT_SELECTED</x:v>
      </x:c>
      <x:c r="M6" s="7" t="str">
        <x:v>USER_APPROVED_DEVICE_DIRECTION_ELECTRICAL_HOLD</x:v>
      </x:c>
      <x:c r="N6" s="7" t="str">
        <x:v>UNVERIFIED</x:v>
      </x:c>
      <x:c r="O6" s="7" t="str">
        <x:v>UNKNOWN</x:v>
      </x:c>
      <x:c r="P6" s="7" t="str">
        <x:v>50mA max AVCC1MSPS data-sheet envelope only; add VDRIVE/reference/AFE/startup; not measured central budget</x:v>
      </x:c>
    </x:row>
    <x:row r="7" ht="76" customHeight="1">
      <x:c r="A7" s="7" t="str">
        <x:v>B-017</x:v>
      </x:c>
      <x:c r="B7" s="7" t="str">
        <x:v>SHT45-AD1B-R2</x:v>
      </x:c>
      <x:c r="C7" s="7" t="str">
        <x:v>温湿度传感器</x:v>
      </x:c>
      <x:c r="D7" s="7" t="str">
        <x:v>DFN-4; pins UNKNOWN</x:v>
      </x:c>
      <x:c r="E7" s="7" t="n">
        <x:v>1</x:v>
      </x:c>
      <x:c r="F7" s="10" t="n">
        <x:v>0.1</x:v>
      </x:c>
      <x:c r="G7" s="7" t="n">
        <x:f>ROUNDUP(E7*(1+F7),0)</x:f>
        <x:v>2</x:v>
      </x:c>
      <x:c r="H7" s="7" t="str">
        <x:v>CE_B017_001</x:v>
      </x:c>
      <x:c r="I7" s="7" t="str">
        <x:v>I2C，远离发射功率温升</x:v>
      </x:c>
      <x:c r="J7" s="7" t="str">
        <x:v>UNKNOWN</x:v>
      </x:c>
      <x:c r="K7" s="7" t="str">
        <x:v>https://sensirion.com/products/catalog/SHT45</x:v>
      </x:c>
      <x:c r="L7" s="7" t="str">
        <x:v>AUTHORIZED_VENDOR_NOT_SELECTED</x:v>
      </x:c>
      <x:c r="M7" s="7" t="str">
        <x:v>OPTIONAL_DIAGNOSTIC_ONLY</x:v>
      </x:c>
      <x:c r="N7" s="7" t="str">
        <x:v>UNVERIFIED</x:v>
      </x:c>
      <x:c r="O7" s="7" t="str">
        <x:v>UNKNOWN</x:v>
      </x:c>
      <x:c r="P7" s="7" t="str">
        <x:v>Humidity not applied to numerical compensation</x:v>
      </x:c>
    </x:row>
    <x:row r="8" ht="76" customHeight="1">
      <x:c r="A8" s="7" t="str">
        <x:v>B-020</x:v>
      </x:c>
      <x:c r="B8" s="7" t="str">
        <x:v>TPS259470LRPWR</x:v>
      </x:c>
      <x:c r="C8" s="7" t="str">
        <x:v>正向/反向/过流eFuse</x:v>
      </x:c>
      <x:c r="D8" s="7" t="str">
        <x:v>VQFN-10; pins UNKNOWN</x:v>
      </x:c>
      <x:c r="E8" s="7" t="n">
        <x:v>1</x:v>
      </x:c>
      <x:c r="F8" s="10" t="n">
        <x:v>0.1</x:v>
      </x:c>
      <x:c r="G8" s="7" t="n">
        <x:f>ROUNDUP(E8*(1+F8),0)</x:f>
        <x:v>2</x:v>
      </x:c>
      <x:c r="H8" s="7" t="str">
        <x:v>CE_B020_001</x:v>
      </x:c>
      <x:c r="I8" s="7" t="str">
        <x:v>三路电源各自配置ILIM/OVLO；历史2A只是候选</x:v>
      </x:c>
      <x:c r="J8" s="7" t="str">
        <x:v>UNKNOWN</x:v>
      </x:c>
      <x:c r="K8" s="7" t="str">
        <x:v>https://www.ti.com/product/TPS25947</x:v>
      </x:c>
      <x:c r="L8" s="7" t="str">
        <x:v>AUTHORIZED_VENDOR_NOT_SELECTED</x:v>
      </x:c>
      <x:c r="M8" s="7" t="str">
        <x:v>NOT_APPROVED_FOR_PROCUREMENT</x:v>
      </x:c>
      <x:c r="N8" s="7" t="str">
        <x:v>UNVERIFIED</x:v>
      </x:c>
      <x:c r="O8" s="7" t="str">
        <x:v>UNKNOWN</x:v>
      </x:c>
      <x:c r="P8" s="7" t="str">
        <x:v>Inherited candidate quantity; netlist/thermal review pending</x:v>
      </x:c>
    </x:row>
    <x:row r="9" ht="76" customHeight="1">
      <x:c r="A9" s="7" t="str">
        <x:v>B-021</x:v>
      </x:c>
      <x:c r="B9" s="7" t="str">
        <x:v>INA226AIDGSR</x:v>
      </x:c>
      <x:c r="C9" s="7" t="str">
        <x:v>电源监控IC</x:v>
      </x:c>
      <x:c r="D9" s="7" t="str">
        <x:v>VSSOP-10; pins UNKNOWN</x:v>
      </x:c>
      <x:c r="E9" s="7" t="n">
        <x:v>1</x:v>
      </x:c>
      <x:c r="F9" s="10" t="n">
        <x:v>0.1</x:v>
      </x:c>
      <x:c r="G9" s="7" t="n">
        <x:f>ROUNDUP(E9*(1+F9),0)</x:f>
        <x:v>2</x:v>
      </x:c>
      <x:c r="H9" s="7" t="str">
        <x:v>CE_B021_001</x:v>
      </x:c>
      <x:c r="I9" s="7" t="str">
        <x:v>两阵列+中央各一颗，shunt实际功耗需核算</x:v>
      </x:c>
      <x:c r="J9" s="7" t="str">
        <x:v>UNKNOWN</x:v>
      </x:c>
      <x:c r="K9" s="7" t="str">
        <x:v>https://www.ti.com/product/INA226</x:v>
      </x:c>
      <x:c r="L9" s="7" t="str">
        <x:v>AUTHORIZED_VENDOR_NOT_SELECTED</x:v>
      </x:c>
      <x:c r="M9" s="7" t="str">
        <x:v>NOT_APPROVED_FOR_PROCUREMENT</x:v>
      </x:c>
      <x:c r="N9" s="7" t="str">
        <x:v>UNVERIFIED</x:v>
      </x:c>
      <x:c r="O9" s="7" t="str">
        <x:v>UNKNOWN</x:v>
      </x:c>
      <x:c r="P9" s="7" t="str">
        <x:v>Inherited candidate quantity; netlist/thermal review pending</x:v>
      </x:c>
    </x:row>
    <x:row r="10" ht="76" customHeight="1">
      <x:c r="A10" s="7" t="str">
        <x:v>B-022</x:v>
      </x:c>
      <x:c r="B10" s="7" t="str">
        <x:v>20mΩ 2512 1% 2W</x:v>
      </x:c>
      <x:c r="C10" s="7" t="str">
        <x:v>低值分流电阻</x:v>
      </x:c>
      <x:c r="D10" s="7" t="str">
        <x:v>2512; pins UNKNOWN</x:v>
      </x:c>
      <x:c r="E10" s="7" t="n">
        <x:v>1</x:v>
      </x:c>
      <x:c r="F10" s="10" t="n">
        <x:v>0.1</x:v>
      </x:c>
      <x:c r="G10" s="7" t="n">
        <x:f>ROUNDUP(E10*(1+F10),0)</x:f>
        <x:v>2</x:v>
      </x:c>
      <x:c r="H10" s="7" t="str">
        <x:v>CE_B022_001</x:v>
      </x:c>
      <x:c r="I10" s="7" t="str">
        <x:v>20mΩ：INA226电流测量满量程约±4.096A</x:v>
      </x:c>
      <x:c r="J10" s="7" t="str">
        <x:v>UNKNOWN</x:v>
      </x:c>
      <x:c r="K10" s="7" t="str">
        <x:v>https://www.lcsc.com</x:v>
      </x:c>
      <x:c r="L10" s="7" t="str">
        <x:v>AUTHORIZED_VENDOR_NOT_SELECTED</x:v>
      </x:c>
      <x:c r="M10" s="7" t="str">
        <x:v>NOT_APPROVED_FOR_PROCUREMENT</x:v>
      </x:c>
      <x:c r="N10" s="7" t="str">
        <x:v>UNVERIFIED</x:v>
      </x:c>
      <x:c r="O10" s="7" t="str">
        <x:v>UNKNOWN</x:v>
      </x:c>
      <x:c r="P10" s="7" t="str">
        <x:v>Inherited candidate quantity; netlist/thermal review pending</x:v>
      </x:c>
    </x:row>
    <x:row r="11" ht="76" customHeight="1">
      <x:c r="A11" s="7" t="str">
        <x:v>B-023</x:v>
      </x:c>
      <x:c r="B11" s="7" t="str">
        <x:v>SMBJ20A 类</x:v>
      </x:c>
      <x:c r="C11" s="7" t="str">
        <x:v>输入TVS</x:v>
      </x:c>
      <x:c r="D11" s="7" t="str">
        <x:v>SMB; pins UNKNOWN</x:v>
      </x:c>
      <x:c r="E11" s="7" t="n">
        <x:v>1</x:v>
      </x:c>
      <x:c r="F11" s="10" t="n">
        <x:v>0.1</x:v>
      </x:c>
      <x:c r="G11" s="7" t="n">
        <x:f>ROUNDUP(E11*(1+F11),0)</x:f>
        <x:v>2</x:v>
      </x:c>
      <x:c r="H11" s="7" t="str">
        <x:v>CE_B023_001</x:v>
      </x:c>
      <x:c r="I11" s="7" t="str">
        <x:v>SMBJ20A候选撤销释放；32.4V钳位高于eFuse28V abs max</x:v>
      </x:c>
      <x:c r="J11" s="7" t="str">
        <x:v>UNKNOWN</x:v>
      </x:c>
      <x:c r="K11" s="7" t="str">
        <x:v>https://www.littelfuse.com/products/tvs-diodes/smbj.aspx</x:v>
      </x:c>
      <x:c r="L11" s="7" t="str">
        <x:v>AUTHORIZED_VENDOR_NOT_SELECTED</x:v>
      </x:c>
      <x:c r="M11" s="7" t="str">
        <x:v>NOT_APPROVED_FOR_PROCUREMENT</x:v>
      </x:c>
      <x:c r="N11" s="7" t="str">
        <x:v>UNVERIFIED</x:v>
      </x:c>
      <x:c r="O11" s="7" t="str">
        <x:v>UNKNOWN</x:v>
      </x:c>
      <x:c r="P11" s="7" t="str">
        <x:v>Inherited SMBJ20A clamp cannot be assumed safe for &lt;=23V eFuse; dynamic clamp/current and buck absolute limits HOLD</x:v>
      </x:c>
    </x:row>
    <x:row r="12" ht="76" customHeight="1">
      <x:c r="A12" s="7" t="str">
        <x:v>B-024</x:v>
      </x:c>
      <x:c r="B12" s="7" t="str">
        <x:v>2A 慢断候选，具体值TBD</x:v>
      </x:c>
      <x:c r="C12" s="7" t="str">
        <x:v>独立熔断器及座</x:v>
      </x:c>
      <x:c r="D12" s="7" t="str">
        <x:v>TBD; pins UNKNOWN</x:v>
      </x:c>
      <x:c r="E12" s="7" t="n">
        <x:v>1</x:v>
      </x:c>
      <x:c r="F12" s="10" t="n">
        <x:v>0.1</x:v>
      </x:c>
      <x:c r="G12" s="7" t="n">
        <x:f>ROUNDUP(E12*(1+F12),0)</x:f>
        <x:v>2</x:v>
      </x:c>
      <x:c r="H12" s="7" t="str">
        <x:v>CE_B024_001</x:v>
      </x:c>
      <x:c r="I12" s="7" t="str">
        <x:v>3路/需按实测峰值选值</x:v>
      </x:c>
      <x:c r="J12" s="7" t="str">
        <x:v>UNKNOWN</x:v>
      </x:c>
      <x:c r="K12" s="7" t="str">
        <x:v>https://www.lcsc.com</x:v>
      </x:c>
      <x:c r="L12" s="7" t="str">
        <x:v>AUTHORIZED_VENDOR_NOT_SELECTED</x:v>
      </x:c>
      <x:c r="M12" s="7" t="str">
        <x:v>NOT_APPROVED_FOR_PROCUREMENT</x:v>
      </x:c>
      <x:c r="N12" s="7" t="str">
        <x:v>UNVERIFIED</x:v>
      </x:c>
      <x:c r="O12" s="7" t="str">
        <x:v>UNKNOWN</x:v>
      </x:c>
      <x:c r="P12" s="7" t="str">
        <x:v>2A candidate is not validated with5A source; fuse/eFuse/wire inrush/selectivity HOLD</x:v>
      </x:c>
    </x:row>
    <x:row r="13" ht="76" customHeight="1">
      <x:c r="A13" s="7" t="str">
        <x:v>B-031</x:v>
      </x:c>
      <x:c r="B13" s="7" t="str">
        <x:v>BLM21PG221SN1D</x:v>
      </x:c>
      <x:c r="C13" s="7" t="str">
        <x:v>模拟电源磁珠</x:v>
      </x:c>
      <x:c r="D13" s="7" t="str">
        <x:v>0805; pins UNKNOWN</x:v>
      </x:c>
      <x:c r="E13" s="7" t="n">
        <x:v>1</x:v>
      </x:c>
      <x:c r="F13" s="10" t="n">
        <x:v>0.1</x:v>
      </x:c>
      <x:c r="G13" s="7" t="n">
        <x:f>ROUNDUP(E13*(1+F13),0)</x:f>
        <x:v>2</x:v>
      </x:c>
      <x:c r="H13" s="7" t="str">
        <x:v>CE_B031_001</x:v>
      </x:c>
      <x:c r="I13" s="7" t="str">
        <x:v>220Ω@100MHz / 2A 标称候选</x:v>
      </x:c>
      <x:c r="J13" s="7" t="str">
        <x:v>UNKNOWN</x:v>
      </x:c>
      <x:c r="K13" s="7" t="str">
        <x:v>https://www.lcsc.com</x:v>
      </x:c>
      <x:c r="L13" s="7" t="str">
        <x:v>AUTHORIZED_VENDOR_NOT_SELECTED</x:v>
      </x:c>
      <x:c r="M13" s="7" t="str">
        <x:v>NOT_APPROVED_FOR_PROCUREMENT</x:v>
      </x:c>
      <x:c r="N13" s="7" t="str">
        <x:v>UNVERIFIED</x:v>
      </x:c>
      <x:c r="O13" s="7" t="str">
        <x:v>UNKNOWN</x:v>
      </x:c>
      <x:c r="P13" s="7" t="str">
        <x:v>Inherited candidate quantity; netlist/thermal review pending</x:v>
      </x:c>
    </x:row>
    <x:row r="14" ht="76" customHeight="1">
      <x:c r="A14" s="7" t="str">
        <x:v>B-032</x:v>
      </x:c>
      <x:c r="B14" s="7" t="str">
        <x:v>TMP117MAIDRVR</x:v>
      </x:c>
      <x:c r="C14" s="7" t="str">
        <x:v>PCB板温监测</x:v>
      </x:c>
      <x:c r="D14" s="7" t="str">
        <x:v>WSON-6; pins 6</x:v>
      </x:c>
      <x:c r="E14" s="7" t="n">
        <x:v>1</x:v>
      </x:c>
      <x:c r="F14" s="10" t="n">
        <x:v>0.1</x:v>
      </x:c>
      <x:c r="G14" s="7" t="n">
        <x:f>ROUNDUP(E14*(1+F14),0)</x:f>
        <x:v>2</x:v>
      </x:c>
      <x:c r="H14" s="7" t="str">
        <x:v>CE_B032_001</x:v>
      </x:c>
      <x:c r="I14" s="7" t="str">
        <x:v>监测驱动温度，不等于空气温湿度</x:v>
      </x:c>
      <x:c r="J14" s="7" t="str">
        <x:v>UNKNOWN</x:v>
      </x:c>
      <x:c r="K14" s="7" t="str">
        <x:v>https://www.ti.com/lit/ds/symlink/tmp117.pdf</x:v>
      </x:c>
      <x:c r="L14" s="7" t="str">
        <x:v>AUTHORIZED_VENDOR_NOT_SELECTED</x:v>
      </x:c>
      <x:c r="M14" s="7" t="str">
        <x:v>NOT_APPROVED_FOR_PROCUREMENT</x:v>
      </x:c>
      <x:c r="N14" s="7" t="str">
        <x:v>UNVERIFIED</x:v>
      </x:c>
      <x:c r="O14" s="7" t="str">
        <x:v>UNKNOWN</x:v>
      </x:c>
      <x:c r="P14" s="7" t="str">
        <x:v>3 sensors required; CENTER air representative away from heat; UP0x49/DOWN0x4b/CENTER0x48; read ID/readiness and bounded bus; no temperatureCRC</x:v>
      </x:c>
    </x:row>
    <x:row r="15" ht="76" customHeight="1">
      <x:c r="A15" s="7" t="str">
        <x:v>B-033</x:v>
      </x:c>
      <x:c r="B15" s="7" t="str">
        <x:v>2×20 2.54mm 对应插座/转接线（按实板决定）</x:v>
      </x:c>
      <x:c r="C15" s="7" t="str">
        <x:v>AX7020 J10/J11对接端子</x:v>
      </x:c>
      <x:c r="D15" s="7" t="str">
        <x:v>THT/线束TBD; pins UNKNOWN</x:v>
      </x:c>
      <x:c r="E15" s="7" t="n">
        <x:v>2</x:v>
      </x:c>
      <x:c r="F15" s="10" t="n">
        <x:v>0.1</x:v>
      </x:c>
      <x:c r="G15" s="7" t="n">
        <x:f>ROUNDUP(E15*(1+F15),0)</x:f>
        <x:v>3</x:v>
      </x:c>
      <x:c r="H15" s="7" t="str">
        <x:v>CE_B033_001, CE_B033_002</x:v>
      </x:c>
      <x:c r="I15" s="7" t="str">
        <x:v>2套对应PL扩展口；针脚编号必须实测</x:v>
      </x:c>
      <x:c r="J15" s="7" t="str">
        <x:v>UNKNOWN</x:v>
      </x:c>
      <x:c r="K15" s="7" t="str">
        <x:v>https://www.alinx.com/public/upload/file/AX7020_UG.pdf</x:v>
      </x:c>
      <x:c r="L15" s="7" t="str">
        <x:v>AUTHORIZED_VENDOR_NOT_SELECTED</x:v>
      </x:c>
      <x:c r="M15" s="7" t="str">
        <x:v>NOT_APPROVED_FOR_PROCUREMENT</x:v>
      </x:c>
      <x:c r="N15" s="7" t="str">
        <x:v>UNVERIFIED</x:v>
      </x:c>
      <x:c r="O15" s="7" t="str">
        <x:v>UNKNOWN</x:v>
      </x:c>
      <x:c r="P15" s="7" t="str">
        <x:v>Inherited candidate quantity; netlist/thermal review pending</x:v>
      </x:c>
    </x:row>
    <x:row r="16" ht="76" customHeight="1">
      <x:c r="A16" s="7" t="str">
        <x:v>B-035</x:v>
      </x:c>
      <x:c r="B16" s="7" t="str">
        <x:v>2×25 IDC防呆（候选）</x:v>
      </x:c>
      <x:c r="C16" s="7" t="str">
        <x:v>数字数据扇出接口</x:v>
      </x:c>
      <x:c r="D16" s="7" t="str">
        <x:v>THT; pins UNKNOWN</x:v>
      </x:c>
      <x:c r="E16" s="7" t="n">
        <x:v>2</x:v>
      </x:c>
      <x:c r="F16" s="10" t="n">
        <x:v>0.1</x:v>
      </x:c>
      <x:c r="G16" s="7" t="n">
        <x:f>ROUNDUP(E16*(1+F16),0)</x:f>
        <x:v>3</x:v>
      </x:c>
      <x:c r="H16" s="7" t="str">
        <x:v>CE_B035_001, CE_B035_002</x:v>
      </x:c>
      <x:c r="I16" s="7" t="str">
        <x:v>上下各一个，配合Array接口</x:v>
      </x:c>
      <x:c r="J16" s="7" t="str">
        <x:v>UNKNOWN</x:v>
      </x:c>
      <x:c r="K16" s="7" t="str">
        <x:v>https://www.lcsc.com/custom-cable-assembly</x:v>
      </x:c>
      <x:c r="L16" s="7" t="str">
        <x:v>AUTHORIZED_VENDOR_NOT_SELECTED</x:v>
      </x:c>
      <x:c r="M16" s="7" t="str">
        <x:v>NOT_APPROVED_FOR_PROCUREMENT</x:v>
      </x:c>
      <x:c r="N16" s="7" t="str">
        <x:v>UNVERIFIED</x:v>
      </x:c>
      <x:c r="O16" s="7" t="str">
        <x:v>UNKNOWN</x:v>
      </x:c>
      <x:c r="P16" s="7" t="str">
        <x:v>Inherited candidate quantity; netlist/thermal review pending</x:v>
      </x:c>
    </x:row>
    <x:row r="17" ht="76" customHeight="1">
      <x:c r="A17" s="7" t="str">
        <x:v>B-036</x:v>
      </x:c>
      <x:c r="B17" s="7" t="str">
        <x:v>不带变压器的被动8P8C/屏蔽连接器</x:v>
      </x:c>
      <x:c r="C17" s="7" t="str">
        <x:v>8芯4对模拟RX接口</x:v>
      </x:c>
      <x:c r="D17" s="7" t="str">
        <x:v>THT; pins UNKNOWN</x:v>
      </x:c>
      <x:c r="E17" s="7" t="n">
        <x:v>2</x:v>
      </x:c>
      <x:c r="F17" s="10" t="n">
        <x:v>0.1</x:v>
      </x:c>
      <x:c r="G17" s="7" t="n">
        <x:f>ROUNDUP(E17*(1+F17),0)</x:f>
        <x:v>3</x:v>
      </x:c>
      <x:c r="H17" s="7" t="str">
        <x:v>CE_B036_001, CE_B036_002</x:v>
      </x:c>
      <x:c r="I17" s="7" t="str">
        <x:v>上/下阵列各1个，中央2个，明确标非以太网</x:v>
      </x:c>
      <x:c r="J17" s="7" t="str">
        <x:v>UNKNOWN</x:v>
      </x:c>
      <x:c r="K17" s="7" t="str">
        <x:v>https://www.lcsc.com</x:v>
      </x:c>
      <x:c r="L17" s="7" t="str">
        <x:v>AUTHORIZED_VENDOR_NOT_SELECTED</x:v>
      </x:c>
      <x:c r="M17" s="7" t="str">
        <x:v>NOT_APPROVED_FOR_PROCUREMENT</x:v>
      </x:c>
      <x:c r="N17" s="7" t="str">
        <x:v>UNVERIFIED</x:v>
      </x:c>
      <x:c r="O17" s="7" t="str">
        <x:v>UNKNOWN</x:v>
      </x:c>
      <x:c r="P17" s="7" t="str">
        <x:v>Inherited candidate quantity; netlist/thermal review pending</x:v>
      </x:c>
    </x:row>
    <x:row r="18" ht="76" customHeight="1">
      <x:c r="A18" s="7" t="str">
        <x:v>B-037</x:v>
      </x:c>
      <x:c r="B18" s="7" t="str">
        <x:v>JST XH 4P</x:v>
      </x:c>
      <x:c r="C18" s="7" t="str">
        <x:v>远端I2C环境传感器插座</x:v>
      </x:c>
      <x:c r="D18" s="7" t="str">
        <x:v>THT; pins UNKNOWN</x:v>
      </x:c>
      <x:c r="E18" s="7" t="n">
        <x:v>1</x:v>
      </x:c>
      <x:c r="F18" s="10" t="n">
        <x:v>0.1</x:v>
      </x:c>
      <x:c r="G18" s="7" t="n">
        <x:f>ROUNDUP(E18*(1+F18),0)</x:f>
        <x:v>2</x:v>
      </x:c>
      <x:c r="H18" s="7" t="str">
        <x:v>CE_B037_001</x:v>
      </x:c>
      <x:c r="I18" s="7" t="str">
        <x:v>3.3V/GND/SDA/SCL；电源来自中央辅助电源</x:v>
      </x:c>
      <x:c r="J18" s="7" t="str">
        <x:v>UNKNOWN</x:v>
      </x:c>
      <x:c r="K18" s="7" t="str">
        <x:v>https://www.lcsc.com</x:v>
      </x:c>
      <x:c r="L18" s="7" t="str">
        <x:v>AUTHORIZED_VENDOR_NOT_SELECTED</x:v>
      </x:c>
      <x:c r="M18" s="7" t="str">
        <x:v>NOT_APPROVED_FOR_PROCUREMENT</x:v>
      </x:c>
      <x:c r="N18" s="7" t="str">
        <x:v>UNVERIFIED</x:v>
      </x:c>
      <x:c r="O18" s="7" t="str">
        <x:v>UNKNOWN</x:v>
      </x:c>
      <x:c r="P18" s="7" t="str">
        <x:v>Inherited candidate quantity; netlist/thermal review pending</x:v>
      </x:c>
    </x:row>
    <x:row r="19" ht="76" customHeight="1">
      <x:c r="A19" s="7" t="str">
        <x:v>B-046</x:v>
      </x:c>
      <x:c r="B19" s="7" t="str">
        <x:v>100nF 50V X7R</x:v>
      </x:c>
      <x:c r="C19" s="7" t="str">
        <x:v>100nF去耦电容</x:v>
      </x:c>
      <x:c r="D19" s="7" t="str">
        <x:v>0603; pins UNKNOWN</x:v>
      </x:c>
      <x:c r="E19" s="7" t="n">
        <x:v>21</x:v>
      </x:c>
      <x:c r="F19" s="10" t="n">
        <x:v>0.1</x:v>
      </x:c>
      <x:c r="G19" s="7" t="n">
        <x:f>ROUNDUP(E19*(1+F19),0)</x:f>
        <x:v>24</x:v>
      </x:c>
      <x:c r="H19" s="7" t="str">
        <x:v>CE_B046_001, CE_B046_002, CE_B046_003, CE_B046_004, CE_B046_005, CE_B046_006, CE_B046_007, CE_B046_008, CE_B046_009, CE_B046_010, CE_B046_011, CE_B046_012, CE_B046_013, CE_B046_014, CE_B046_015, CE_B046_016, CE_B046_017, CE_B046_018, CE_B046_019, CE_B046_020, CE_B046_021</x:v>
      </x:c>
      <x:c r="I19" s="7" t="str">
        <x:v>按原v5零件计数移植；新布板新增保护网路另计</x:v>
      </x:c>
      <x:c r="J19" s="7" t="str">
        <x:v>UNKNOWN</x:v>
      </x:c>
      <x:c r="K19" s="7" t="str">
        <x:v>https://github.com/loverlike1216/SonoField-FPGA/blob/main/v5/hardware/bom/BOM_MASTER.csv</x:v>
      </x:c>
      <x:c r="L19" s="7" t="str">
        <x:v>AUTHORIZED_VENDOR_NOT_SELECTED</x:v>
      </x:c>
      <x:c r="M19" s="7" t="str">
        <x:v>NOT_APPROVED_FOR_PROCUREMENT</x:v>
      </x:c>
      <x:c r="N19" s="7" t="str">
        <x:v>UNVERIFIED</x:v>
      </x:c>
      <x:c r="O19" s="7" t="str">
        <x:v>UNKNOWN</x:v>
      </x:c>
      <x:c r="P19" s="7" t="str">
        <x:v>Inherited candidate quantity; netlist/thermal review pending</x:v>
      </x:c>
    </x:row>
    <x:row r="20" ht="76" customHeight="1">
      <x:c r="A20" s="7" t="str">
        <x:v>B-047</x:v>
      </x:c>
      <x:c r="B20" s="7" t="str">
        <x:v>1µF 25V X7R</x:v>
      </x:c>
      <x:c r="C20" s="7" t="str">
        <x:v>1µF驱动储能</x:v>
      </x:c>
      <x:c r="D20" s="7" t="str">
        <x:v>0805; pins UNKNOWN</x:v>
      </x:c>
      <x:c r="E20" s="7" t="n">
        <x:v>2</x:v>
      </x:c>
      <x:c r="F20" s="10" t="n">
        <x:v>0.1</x:v>
      </x:c>
      <x:c r="G20" s="7" t="n">
        <x:f>ROUNDUP(E20*(1+F20),0)</x:f>
        <x:v>3</x:v>
      </x:c>
      <x:c r="H20" s="7" t="str">
        <x:v>CE_B047_001, CE_B047_002</x:v>
      </x:c>
      <x:c r="I20" s="7" t="str">
        <x:v>按原v5零件计数移植；新布板新增保护网路另计</x:v>
      </x:c>
      <x:c r="J20" s="7" t="str">
        <x:v>UNKNOWN</x:v>
      </x:c>
      <x:c r="K20" s="7" t="str">
        <x:v>https://github.com/loverlike1216/SonoField-FPGA/blob/main/v5/hardware/bom/BOM_MASTER.csv</x:v>
      </x:c>
      <x:c r="L20" s="7" t="str">
        <x:v>AUTHORIZED_VENDOR_NOT_SELECTED</x:v>
      </x:c>
      <x:c r="M20" s="7" t="str">
        <x:v>NOT_APPROVED_FOR_PROCUREMENT</x:v>
      </x:c>
      <x:c r="N20" s="7" t="str">
        <x:v>UNVERIFIED</x:v>
      </x:c>
      <x:c r="O20" s="7" t="str">
        <x:v>UNKNOWN</x:v>
      </x:c>
      <x:c r="P20" s="7" t="str">
        <x:v>Inherited candidate quantity; netlist/thermal review pending</x:v>
      </x:c>
    </x:row>
    <x:row r="21" ht="76" customHeight="1">
      <x:c r="A21" s="7" t="str">
        <x:v>B-048</x:v>
      </x:c>
      <x:c r="B21" s="7" t="str">
        <x:v>22µF 25V X7R</x:v>
      </x:c>
      <x:c r="C21" s="7" t="str">
        <x:v>22µF局部储能</x:v>
      </x:c>
      <x:c r="D21" s="7" t="str">
        <x:v>1210; pins UNKNOWN</x:v>
      </x:c>
      <x:c r="E21" s="7" t="n">
        <x:v>4</x:v>
      </x:c>
      <x:c r="F21" s="10" t="n">
        <x:v>0.1</x:v>
      </x:c>
      <x:c r="G21" s="7" t="n">
        <x:f>ROUNDUP(E21*(1+F21),0)</x:f>
        <x:v>5</x:v>
      </x:c>
      <x:c r="H21" s="7" t="str">
        <x:v>CE_B048_001, CE_B048_002, CE_B048_003, CE_B048_004</x:v>
      </x:c>
      <x:c r="I21" s="7" t="str">
        <x:v>按原v5零件计数移植；新布板新增保护网路另计</x:v>
      </x:c>
      <x:c r="J21" s="7" t="str">
        <x:v>UNKNOWN</x:v>
      </x:c>
      <x:c r="K21" s="7" t="str">
        <x:v>https://github.com/loverlike1216/SonoField-FPGA/blob/main/v5/hardware/bom/BOM_MASTER.csv</x:v>
      </x:c>
      <x:c r="L21" s="7" t="str">
        <x:v>AUTHORIZED_VENDOR_NOT_SELECTED</x:v>
      </x:c>
      <x:c r="M21" s="7" t="str">
        <x:v>NOT_APPROVED_FOR_PROCUREMENT</x:v>
      </x:c>
      <x:c r="N21" s="7" t="str">
        <x:v>UNVERIFIED</x:v>
      </x:c>
      <x:c r="O21" s="7" t="str">
        <x:v>UNKNOWN</x:v>
      </x:c>
      <x:c r="P21" s="7" t="str">
        <x:v>Inherited candidate quantity; netlist/thermal review pending</x:v>
      </x:c>
    </x:row>
    <x:row r="22" ht="76" customHeight="1">
      <x:c r="A22" s="7" t="str">
        <x:v>B-049</x:v>
      </x:c>
      <x:c r="B22" s="7" t="str">
        <x:v>10µF 25V X7R</x:v>
      </x:c>
      <x:c r="C22" s="7" t="str">
        <x:v>10µF输入去耦</x:v>
      </x:c>
      <x:c r="D22" s="7" t="str">
        <x:v>1206; pins UNKNOWN</x:v>
      </x:c>
      <x:c r="E22" s="7" t="n">
        <x:v>5</x:v>
      </x:c>
      <x:c r="F22" s="10" t="n">
        <x:v>0.1</x:v>
      </x:c>
      <x:c r="G22" s="7" t="n">
        <x:f>ROUNDUP(E22*(1+F22),0)</x:f>
        <x:v>6</x:v>
      </x:c>
      <x:c r="H22" s="7" t="str">
        <x:v>CE_B049_001, CE_B049_002, CE_B049_003, CE_B049_004, CE_B049_005</x:v>
      </x:c>
      <x:c r="I22" s="7" t="str">
        <x:v>按原v5零件计数移植；新布板新增保护网路另计</x:v>
      </x:c>
      <x:c r="J22" s="7" t="str">
        <x:v>UNKNOWN</x:v>
      </x:c>
      <x:c r="K22" s="7" t="str">
        <x:v>https://github.com/loverlike1216/SonoField-FPGA/blob/main/v5/hardware/bom/BOM_MASTER.csv</x:v>
      </x:c>
      <x:c r="L22" s="7" t="str">
        <x:v>AUTHORIZED_VENDOR_NOT_SELECTED</x:v>
      </x:c>
      <x:c r="M22" s="7" t="str">
        <x:v>NOT_APPROVED_FOR_PROCUREMENT</x:v>
      </x:c>
      <x:c r="N22" s="7" t="str">
        <x:v>UNVERIFIED</x:v>
      </x:c>
      <x:c r="O22" s="7" t="str">
        <x:v>UNKNOWN</x:v>
      </x:c>
      <x:c r="P22" s="7" t="str">
        <x:v>Inherited candidate quantity; netlist/thermal review pending</x:v>
      </x:c>
    </x:row>
    <x:row r="23" ht="76" customHeight="1">
      <x:c r="A23" s="7" t="str">
        <x:v>B-050</x:v>
      </x:c>
      <x:c r="B23" s="7" t="str">
        <x:v>2.2µF 25V X7R</x:v>
      </x:c>
      <x:c r="C23" s="7" t="str">
        <x:v>2.2µF LDO稳定电容</x:v>
      </x:c>
      <x:c r="D23" s="7" t="str">
        <x:v>0805; pins UNKNOWN</x:v>
      </x:c>
      <x:c r="E23" s="7" t="n">
        <x:v>2</x:v>
      </x:c>
      <x:c r="F23" s="10" t="n">
        <x:v>0.1</x:v>
      </x:c>
      <x:c r="G23" s="7" t="n">
        <x:f>ROUNDUP(E23*(1+F23),0)</x:f>
        <x:v>3</x:v>
      </x:c>
      <x:c r="H23" s="7" t="str">
        <x:v>CE_B050_001, CE_B050_002</x:v>
      </x:c>
      <x:c r="I23" s="7" t="str">
        <x:v>按原v5零件计数移植；新布板新增保护网路另计</x:v>
      </x:c>
      <x:c r="J23" s="7" t="str">
        <x:v>UNKNOWN</x:v>
      </x:c>
      <x:c r="K23" s="7" t="str">
        <x:v>https://github.com/loverlike1216/SonoField-FPGA/blob/main/v5/hardware/bom/BOM_MASTER.csv</x:v>
      </x:c>
      <x:c r="L23" s="7" t="str">
        <x:v>AUTHORIZED_VENDOR_NOT_SELECTED</x:v>
      </x:c>
      <x:c r="M23" s="7" t="str">
        <x:v>NOT_APPROVED_FOR_PROCUREMENT</x:v>
      </x:c>
      <x:c r="N23" s="7" t="str">
        <x:v>UNVERIFIED</x:v>
      </x:c>
      <x:c r="O23" s="7" t="str">
        <x:v>UNKNOWN</x:v>
      </x:c>
      <x:c r="P23" s="7" t="str">
        <x:v>Inherited candidate quantity; netlist/thermal review pending</x:v>
      </x:c>
    </x:row>
    <x:row r="24" ht="76" customHeight="1">
      <x:c r="A24" s="7" t="str">
        <x:v>B-053</x:v>
      </x:c>
      <x:c r="B24" s="7" t="str">
        <x:v>1nF 50V C0G</x:v>
      </x:c>
      <x:c r="C24" s="7" t="str">
        <x:v>1nF RX噪声过滤</x:v>
      </x:c>
      <x:c r="D24" s="7" t="str">
        <x:v>0603; pins UNKNOWN</x:v>
      </x:c>
      <x:c r="E24" s="7" t="n">
        <x:v>8</x:v>
      </x:c>
      <x:c r="F24" s="10" t="n">
        <x:v>0.1</x:v>
      </x:c>
      <x:c r="G24" s="7" t="n">
        <x:f>ROUNDUP(E24*(1+F24),0)</x:f>
        <x:v>9</x:v>
      </x:c>
      <x:c r="H24" s="7" t="str">
        <x:v>CE_B053_001, CE_B053_002, CE_B053_003, CE_B053_004, CE_B053_005, CE_B053_006, CE_B053_007, CE_B053_008</x:v>
      </x:c>
      <x:c r="I24" s="7" t="str">
        <x:v>按原v5零件计数移植；新布板新增保护网路另计</x:v>
      </x:c>
      <x:c r="J24" s="7" t="str">
        <x:v>UNKNOWN</x:v>
      </x:c>
      <x:c r="K24" s="7" t="str">
        <x:v>https://github.com/loverlike1216/SonoField-FPGA/blob/main/v5/hardware/bom/BOM_MASTER.csv</x:v>
      </x:c>
      <x:c r="L24" s="7" t="str">
        <x:v>AUTHORIZED_VENDOR_NOT_SELECTED</x:v>
      </x:c>
      <x:c r="M24" s="7" t="str">
        <x:v>NOT_APPROVED_FOR_PROCUREMENT</x:v>
      </x:c>
      <x:c r="N24" s="7" t="str">
        <x:v>UNVERIFIED</x:v>
      </x:c>
      <x:c r="O24" s="7" t="str">
        <x:v>UNKNOWN</x:v>
      </x:c>
      <x:c r="P24" s="7" t="str">
        <x:v>Inherited candidate quantity; netlist/thermal review pending</x:v>
      </x:c>
    </x:row>
    <x:row r="25" ht="76" customHeight="1">
      <x:c r="A25" s="7" t="str">
        <x:v>B-054</x:v>
      </x:c>
      <x:c r="B25" s="7" t="str">
        <x:v>100kΩ 1%</x:v>
      </x:c>
      <x:c r="C25" s="7" t="str">
        <x:v>100kΩ上拉/下拉</x:v>
      </x:c>
      <x:c r="D25" s="7" t="str">
        <x:v>0603; pins UNKNOWN</x:v>
      </x:c>
      <x:c r="E25" s="7" t="n">
        <x:v>2</x:v>
      </x:c>
      <x:c r="F25" s="10" t="n">
        <x:v>0.1</x:v>
      </x:c>
      <x:c r="G25" s="7" t="n">
        <x:f>ROUNDUP(E25*(1+F25),0)</x:f>
        <x:v>3</x:v>
      </x:c>
      <x:c r="H25" s="7" t="str">
        <x:v>CE_B054_001, CE_B054_002</x:v>
      </x:c>
      <x:c r="I25" s="7" t="str">
        <x:v>按原v5零件计数移植；新布板新增保护网路另计</x:v>
      </x:c>
      <x:c r="J25" s="7" t="str">
        <x:v>UNKNOWN</x:v>
      </x:c>
      <x:c r="K25" s="7" t="str">
        <x:v>https://github.com/loverlike1216/SonoField-FPGA/blob/main/v5/hardware/bom/BOM_MASTER.csv</x:v>
      </x:c>
      <x:c r="L25" s="7" t="str">
        <x:v>AUTHORIZED_VENDOR_NOT_SELECTED</x:v>
      </x:c>
      <x:c r="M25" s="7" t="str">
        <x:v>NOT_APPROVED_FOR_PROCUREMENT</x:v>
      </x:c>
      <x:c r="N25" s="7" t="str">
        <x:v>UNVERIFIED</x:v>
      </x:c>
      <x:c r="O25" s="7" t="str">
        <x:v>UNKNOWN</x:v>
      </x:c>
      <x:c r="P25" s="7" t="str">
        <x:v>Inherited candidate quantity; netlist/thermal review pending</x:v>
      </x:c>
    </x:row>
    <x:row r="26" ht="76" customHeight="1">
      <x:c r="A26" s="7" t="str">
        <x:v>B-056</x:v>
      </x:c>
      <x:c r="B26" s="7" t="str">
        <x:v>4.7kΩ 1%</x:v>
      </x:c>
      <x:c r="C26" s="7" t="str">
        <x:v>4.7kΩ I²C上拉</x:v>
      </x:c>
      <x:c r="D26" s="7" t="str">
        <x:v>0603; pins UNKNOWN</x:v>
      </x:c>
      <x:c r="E26" s="7" t="n">
        <x:v>2</x:v>
      </x:c>
      <x:c r="F26" s="10" t="n">
        <x:v>0.1</x:v>
      </x:c>
      <x:c r="G26" s="7" t="n">
        <x:f>ROUNDUP(E26*(1+F26),0)</x:f>
        <x:v>3</x:v>
      </x:c>
      <x:c r="H26" s="7" t="str">
        <x:v>CE_B056_001, CE_B056_002</x:v>
      </x:c>
      <x:c r="I26" s="7" t="str">
        <x:v>按原v5零件计数移植；新布板新增保护网路另计</x:v>
      </x:c>
      <x:c r="J26" s="7" t="str">
        <x:v>UNKNOWN</x:v>
      </x:c>
      <x:c r="K26" s="7" t="str">
        <x:v>https://github.com/loverlike1216/SonoField-FPGA/blob/main/v5/hardware/bom/BOM_MASTER.csv</x:v>
      </x:c>
      <x:c r="L26" s="7" t="str">
        <x:v>AUTHORIZED_VENDOR_NOT_SELECTED</x:v>
      </x:c>
      <x:c r="M26" s="7" t="str">
        <x:v>NOT_APPROVED_FOR_PROCUREMENT</x:v>
      </x:c>
      <x:c r="N26" s="7" t="str">
        <x:v>UNVERIFIED</x:v>
      </x:c>
      <x:c r="O26" s="7" t="str">
        <x:v>UNKNOWN</x:v>
      </x:c>
      <x:c r="P26" s="7" t="str">
        <x:v>Inherited candidate quantity; netlist/thermal review pending</x:v>
      </x:c>
    </x:row>
    <x:row r="27" ht="76" customHeight="1">
      <x:c r="A27" s="7" t="str">
        <x:v>B-058</x:v>
      </x:c>
      <x:c r="B27" s="7" t="str">
        <x:v>47Ω 1%</x:v>
      </x:c>
      <x:c r="C27" s="7" t="str">
        <x:v>47Ω模拟阻尼</x:v>
      </x:c>
      <x:c r="D27" s="7" t="str">
        <x:v>0603; pins UNKNOWN</x:v>
      </x:c>
      <x:c r="E27" s="7" t="n">
        <x:v>8</x:v>
      </x:c>
      <x:c r="F27" s="10" t="n">
        <x:v>0.1</x:v>
      </x:c>
      <x:c r="G27" s="7" t="n">
        <x:f>ROUNDUP(E27*(1+F27),0)</x:f>
        <x:v>9</x:v>
      </x:c>
      <x:c r="H27" s="7" t="str">
        <x:v>CE_B058_001, CE_B058_002, CE_B058_003, CE_B058_004, CE_B058_005, CE_B058_006, CE_B058_007, CE_B058_008</x:v>
      </x:c>
      <x:c r="I27" s="7" t="str">
        <x:v>按原v5零件计数移植；新布板新增保护网路另计</x:v>
      </x:c>
      <x:c r="J27" s="7" t="str">
        <x:v>UNKNOWN</x:v>
      </x:c>
      <x:c r="K27" s="7" t="str">
        <x:v>https://github.com/loverlike1216/SonoField-FPGA/blob/main/v5/hardware/bom/BOM_MASTER.csv</x:v>
      </x:c>
      <x:c r="L27" s="7" t="str">
        <x:v>AUTHORIZED_VENDOR_NOT_SELECTED</x:v>
      </x:c>
      <x:c r="M27" s="7" t="str">
        <x:v>NOT_APPROVED_FOR_PROCUREMENT</x:v>
      </x:c>
      <x:c r="N27" s="7" t="str">
        <x:v>UNVERIFIED</x:v>
      </x:c>
      <x:c r="O27" s="7" t="str">
        <x:v>UNKNOWN</x:v>
      </x:c>
      <x:c r="P27" s="7" t="str">
        <x:v>Inherited candidate quantity; netlist/thermal review pending</x:v>
      </x:c>
    </x:row>
    <x:row r="28" ht="76" customHeight="1">
      <x:c r="A28" s="7" t="str">
        <x:v>B-060</x:v>
      </x:c>
      <x:c r="B28" s="7" t="str">
        <x:v>10Ω 1%</x:v>
      </x:c>
      <x:c r="C28" s="7" t="str">
        <x:v>10Ω监测滤波</x:v>
      </x:c>
      <x:c r="D28" s="7" t="str">
        <x:v>0603; pins UNKNOWN</x:v>
      </x:c>
      <x:c r="E28" s="7" t="n">
        <x:v>2</x:v>
      </x:c>
      <x:c r="F28" s="10" t="n">
        <x:v>0.1</x:v>
      </x:c>
      <x:c r="G28" s="7" t="n">
        <x:f>ROUNDUP(E28*(1+F28),0)</x:f>
        <x:v>3</x:v>
      </x:c>
      <x:c r="H28" s="7" t="str">
        <x:v>CE_B060_001, CE_B060_002</x:v>
      </x:c>
      <x:c r="I28" s="7" t="str">
        <x:v>按原v5零件计数移植；新布板新增保护网路另计</x:v>
      </x:c>
      <x:c r="J28" s="7" t="str">
        <x:v>UNKNOWN</x:v>
      </x:c>
      <x:c r="K28" s="7" t="str">
        <x:v>https://github.com/loverlike1216/SonoField-FPGA/blob/main/v5/hardware/bom/BOM_MASTER.csv</x:v>
      </x:c>
      <x:c r="L28" s="7" t="str">
        <x:v>AUTHORIZED_VENDOR_NOT_SELECTED</x:v>
      </x:c>
      <x:c r="M28" s="7" t="str">
        <x:v>NOT_APPROVED_FOR_PROCUREMENT</x:v>
      </x:c>
      <x:c r="N28" s="7" t="str">
        <x:v>UNVERIFIED</x:v>
      </x:c>
      <x:c r="O28" s="7" t="str">
        <x:v>UNKNOWN</x:v>
      </x:c>
      <x:c r="P28" s="7" t="str">
        <x:v>Inherited candidate quantity; netlist/thermal review pending</x:v>
      </x:c>
    </x:row>
    <x:row r="29" ht="76" customHeight="1">
      <x:c r="A29" s="7" t="str">
        <x:v>B-062</x:v>
      </x:c>
      <x:c r="B29" s="7" t="str">
        <x:v>1.65kΩ 1%</x:v>
      </x:c>
      <x:c r="C29" s="7" t="str">
        <x:v>1.65kΩ限流编程</x:v>
      </x:c>
      <x:c r="D29" s="7" t="str">
        <x:v>0603; pins UNKNOWN</x:v>
      </x:c>
      <x:c r="E29" s="7" t="n">
        <x:v>1</x:v>
      </x:c>
      <x:c r="F29" s="10" t="n">
        <x:v>0.1</x:v>
      </x:c>
      <x:c r="G29" s="7" t="n">
        <x:f>ROUNDUP(E29*(1+F29),0)</x:f>
        <x:v>2</x:v>
      </x:c>
      <x:c r="H29" s="7" t="str">
        <x:v>CE_B062_001</x:v>
      </x:c>
      <x:c r="I29" s="7" t="str">
        <x:v>1.65kΩ→约2.02A标称；不是5.5A</x:v>
      </x:c>
      <x:c r="J29" s="7" t="str">
        <x:v>UNKNOWN</x:v>
      </x:c>
      <x:c r="K29" s="7" t="str">
        <x:v>https://github.com/loverlike1216/SonoField-FPGA/blob/main/v5/hardware/bom/BOM_MASTER.csv</x:v>
      </x:c>
      <x:c r="L29" s="7" t="str">
        <x:v>AUTHORIZED_VENDOR_NOT_SELECTED</x:v>
      </x:c>
      <x:c r="M29" s="7" t="str">
        <x:v>NOT_APPROVED_FOR_PROCUREMENT</x:v>
      </x:c>
      <x:c r="N29" s="7" t="str">
        <x:v>UNVERIFIED</x:v>
      </x:c>
      <x:c r="O29" s="7" t="str">
        <x:v>UNKNOWN</x:v>
      </x:c>
      <x:c r="P29" s="7" t="str">
        <x:v>Inherited candidate quantity; netlist/thermal review pending</x:v>
      </x:c>
    </x:row>
    <x:row r="30" ht="76" customHeight="1">
      <x:c r="A30" s="7" t="str">
        <x:v>B-063</x:v>
      </x:c>
      <x:c r="B30" s="7" t="str">
        <x:v>1.37MΩ 1%</x:v>
      </x:c>
      <x:c r="C30" s="7" t="str">
        <x:v>1.37MΩ过压编程</x:v>
      </x:c>
      <x:c r="D30" s="7" t="str">
        <x:v>0603; pins UNKNOWN</x:v>
      </x:c>
      <x:c r="E30" s="7" t="n">
        <x:v>1</x:v>
      </x:c>
      <x:c r="F30" s="10" t="n">
        <x:v>0.1</x:v>
      </x:c>
      <x:c r="G30" s="7" t="n">
        <x:f>ROUNDUP(E30*(1+F30),0)</x:f>
        <x:v>2</x:v>
      </x:c>
      <x:c r="H30" s="7" t="str">
        <x:v>CE_B063_001</x:v>
      </x:c>
      <x:c r="I30" s="7" t="str">
        <x:v>按原v5零件计数移植；新布板新增保护网路另计</x:v>
      </x:c>
      <x:c r="J30" s="7" t="str">
        <x:v>UNKNOWN</x:v>
      </x:c>
      <x:c r="K30" s="7" t="str">
        <x:v>https://github.com/loverlike1216/SonoField-FPGA/blob/main/v5/hardware/bom/BOM_MASTER.csv</x:v>
      </x:c>
      <x:c r="L30" s="7" t="str">
        <x:v>AUTHORIZED_VENDOR_NOT_SELECTED</x:v>
      </x:c>
      <x:c r="M30" s="7" t="str">
        <x:v>NOT_APPROVED_FOR_PROCUREMENT</x:v>
      </x:c>
      <x:c r="N30" s="7" t="str">
        <x:v>UNVERIFIED</x:v>
      </x:c>
      <x:c r="O30" s="7" t="str">
        <x:v>UNKNOWN</x:v>
      </x:c>
      <x:c r="P30" s="7" t="str">
        <x:v>Inherited candidate quantity; netlist/thermal review pending</x:v>
      </x:c>
    </x:row>
    <x:row r="31" ht="76" customHeight="1">
      <x:c r="A31" s="7" t="str">
        <x:v>B-064</x:v>
      </x:c>
      <x:c r="B31" s="7" t="str">
        <x:v>590kΩ 1%</x:v>
      </x:c>
      <x:c r="C31" s="7" t="str">
        <x:v>590kΩ反馈</x:v>
      </x:c>
      <x:c r="D31" s="7" t="str">
        <x:v>0603; pins UNKNOWN</x:v>
      </x:c>
      <x:c r="E31" s="7" t="n">
        <x:v>1</x:v>
      </x:c>
      <x:c r="F31" s="10" t="n">
        <x:v>0.1</x:v>
      </x:c>
      <x:c r="G31" s="7" t="n">
        <x:f>ROUNDUP(E31*(1+F31),0)</x:f>
        <x:v>2</x:v>
      </x:c>
      <x:c r="H31" s="7" t="str">
        <x:v>CE_B064_001</x:v>
      </x:c>
      <x:c r="I31" s="7" t="str">
        <x:v>按原v5零件计数移植；新布板新增保护网路另计</x:v>
      </x:c>
      <x:c r="J31" s="7" t="str">
        <x:v>UNKNOWN</x:v>
      </x:c>
      <x:c r="K31" s="7" t="str">
        <x:v>https://github.com/loverlike1216/SonoField-FPGA/blob/main/v5/hardware/bom/BOM_MASTER.csv</x:v>
      </x:c>
      <x:c r="L31" s="7" t="str">
        <x:v>AUTHORIZED_VENDOR_NOT_SELECTED</x:v>
      </x:c>
      <x:c r="M31" s="7" t="str">
        <x:v>NOT_APPROVED_FOR_PROCUREMENT</x:v>
      </x:c>
      <x:c r="N31" s="7" t="str">
        <x:v>UNVERIFIED</x:v>
      </x:c>
      <x:c r="O31" s="7" t="str">
        <x:v>UNKNOWN</x:v>
      </x:c>
      <x:c r="P31" s="7" t="str">
        <x:v>Inherited candidate quantity; netlist/thermal review pending</x:v>
      </x:c>
    </x:row>
    <x:row r="32" ht="76" customHeight="1">
      <x:c r="A32" s="7" t="str">
        <x:v>B-070</x:v>
      </x:c>
      <x:c r="B32" s="7" t="str">
        <x:v>100×80mm 4L候选</x:v>
      </x:c>
      <x:c r="C32" s="7" t="str">
        <x:v>4层AX7020适配/ADC PCB</x:v>
      </x:c>
      <x:c r="D32" s="7" t="str">
        <x:v>PCB; pins UNKNOWN</x:v>
      </x:c>
      <x:c r="E32" s="7" t="n">
        <x:v>1</x:v>
      </x:c>
      <x:c r="F32" s="10" t="n">
        <x:v>0.1</x:v>
      </x:c>
      <x:c r="G32" s="7" t="n">
        <x:f>ROUNDUP(E32*(1+F32),0)</x:f>
        <x:v>2</x:v>
      </x:c>
      <x:c r="H32" s="7" t="str">
        <x:v>CE_B070_001</x:v>
      </x:c>
      <x:c r="I32" s="7" t="str">
        <x:v>尺寸随对接连接器/J10-J11位置确定</x:v>
      </x:c>
      <x:c r="J32" s="7" t="str">
        <x:v>UNKNOWN</x:v>
      </x:c>
      <x:c r="K32" s="7" t="str">
        <x:v>https://jlcpcb.com</x:v>
      </x:c>
      <x:c r="L32" s="7" t="str">
        <x:v>AUTHORIZED_VENDOR_NOT_SELECTED</x:v>
      </x:c>
      <x:c r="M32" s="7" t="str">
        <x:v>NOT_APPROVED_FOR_PROCUREMENT</x:v>
      </x:c>
      <x:c r="N32" s="7" t="str">
        <x:v>UNVERIFIED</x:v>
      </x:c>
      <x:c r="O32" s="7" t="str">
        <x:v>UNKNOWN</x:v>
      </x:c>
      <x:c r="P32" s="7" t="str">
        <x:v>Central interface board ONLY AX7020 protected single source per rail; no central external12V</x:v>
      </x:c>
    </x:row>
    <x:row r="33" ht="76" customHeight="1">
      <x:c r="A33" s="7" t="str">
        <x:v>PC-001</x:v>
      </x:c>
      <x:c r="B33" s="7" t="str">
        <x:v>TCA4307DGKR</x:v>
      </x:c>
      <x:c r="C33" s="7" t="str">
        <x:v>Remote I2C hot-swap isolation</x:v>
      </x:c>
      <x:c r="D33" s="7" t="str">
        <x:v>VSSOP-8; pins UNKNOWN</x:v>
      </x:c>
      <x:c r="E33" s="7" t="n">
        <x:v>2</x:v>
      </x:c>
      <x:c r="F33" s="10" t="n">
        <x:v>0.1</x:v>
      </x:c>
      <x:c r="G33" s="7" t="n">
        <x:f>ROUNDUP(E33*(1+F33),0)</x:f>
        <x:v>3</x:v>
      </x:c>
      <x:c r="H33" s="7" t="str">
        <x:v>CE_PC001_001, CE_PC001_002</x:v>
      </x:c>
      <x:c r="I33" s="7" t="str">
        <x:v>CANDIDATE_REVIEW_REQUIRED</x:v>
      </x:c>
      <x:c r="J33" s="7" t="str">
        <x:v>UNKNOWN</x:v>
      </x:c>
      <x:c r="K33" s="7" t="str">
        <x:v>https://www.ti.com/product/TCA4307</x:v>
      </x:c>
      <x:c r="L33" s="7" t="str">
        <x:v>NOT_SELECTED</x:v>
      </x:c>
      <x:c r="M33" s="7" t="str">
        <x:v>NOT_APPROVED_FOR_PROCUREMENT</x:v>
      </x:c>
      <x:c r="N33" s="7" t="str">
        <x:v>UNVERIFIED</x:v>
      </x:c>
      <x:c r="O33" s="7" t="str">
        <x:v>UNKNOWN</x:v>
      </x:c>
      <x:c r="P33" s="7" t="str">
        <x:v>Electrical/thermal qualification HOLD</x:v>
      </x:c>
    </x:row>
    <x:row r="34" ht="76" customHeight="1">
      <x:c r="A34" s="7" t="str">
        <x:v>PC-003</x:v>
      </x:c>
      <x:c r="B34" s="7" t="str">
        <x:v>PART_SELECTION_HOLD</x:v>
      </x:c>
      <x:c r="C34" s="7" t="str">
        <x:v>Central header reverse-blocking protection</x:v>
      </x:c>
      <x:c r="D34" s="7" t="str">
        <x:v>HOLD; pins UNKNOWN</x:v>
      </x:c>
      <x:c r="E34" s="7" t="n">
        <x:v>2</x:v>
      </x:c>
      <x:c r="F34" s="10" t="n">
        <x:v>0.1</x:v>
      </x:c>
      <x:c r="G34" s="7" t="n">
        <x:f>ROUNDUP(E34*(1+F34),0)</x:f>
        <x:v>3</x:v>
      </x:c>
      <x:c r="H34" s="7" t="str">
        <x:v>CE_PC003_001, CE_PC003_002</x:v>
      </x:c>
      <x:c r="I34" s="7" t="str">
        <x:v>CANDIDATE_REVIEW_REQUIRED</x:v>
      </x:c>
      <x:c r="J34" s="7" t="str">
        <x:v>UNKNOWN</x:v>
      </x:c>
      <x:c r="K34" s="7" t="str">
        <x:v>USER_AX7020_POWER_ONLY_REQUIREMENT</x:v>
      </x:c>
      <x:c r="L34" s="7" t="str">
        <x:v>NOT_SELECTED</x:v>
      </x:c>
      <x:c r="M34" s="7" t="str">
        <x:v>NOT_APPROVED_FOR_PROCUREMENT</x:v>
      </x:c>
      <x:c r="N34" s="7" t="str">
        <x:v>UNVERIFIED</x:v>
      </x:c>
      <x:c r="O34" s="7" t="str">
        <x:v>UNKNOWN</x:v>
      </x:c>
      <x:c r="P34" s="7" t="str">
        <x:v>Electrical/thermal qualification HOLD</x:v>
      </x:c>
    </x:row>
    <x:row r="35" ht="76" customHeight="1">
      <x:c r="A35" s="7" t="str">
        <x:v>NS-001</x:v>
      </x:c>
      <x:c r="B35" s="7" t="str">
        <x:v>PART_SELECTION_HOLD</x:v>
      </x:c>
      <x:c r="C35" s="7" t="str">
        <x:v>Independent NC estop safety loop connector</x:v>
      </x:c>
      <x:c r="D35" s="7" t="str">
        <x:v>UNKNOWN; pins UNKNOWN</x:v>
      </x:c>
      <x:c r="E35" s="7" t="n">
        <x:v>1</x:v>
      </x:c>
      <x:c r="F35" s="10" t="n">
        <x:v>0.1</x:v>
      </x:c>
      <x:c r="G35" s="7" t="n">
        <x:f>ROUNDUP(E35*(1+F35),0)</x:f>
        <x:v>2</x:v>
      </x:c>
      <x:c r="H35" s="7" t="str">
        <x:v>CE_NS001_001</x:v>
      </x:c>
      <x:c r="I35" s="7" t="str">
        <x:v>LOGIC/12V_DOMAIN_REVIEW</x:v>
      </x:c>
      <x:c r="J35" s="7" t="str">
        <x:v>UNKNOWN</x:v>
      </x:c>
      <x:c r="K35" s="7" t="str">
        <x:v>Current user GateC3/D1</x:v>
      </x:c>
      <x:c r="L35" s="7" t="str">
        <x:v>NOT_SELECTED</x:v>
      </x:c>
      <x:c r="M35" s="7" t="str">
        <x:v>PROPOSED_HOLD</x:v>
      </x:c>
      <x:c r="N35" s="7" t="str">
        <x:v>UNVERIFIED</x:v>
      </x:c>
      <x:c r="O35" s="7" t="str">
        <x:v>UNKNOWN</x:v>
      </x:c>
      <x:c r="P35" s="7" t="str">
        <x:v>Power-loss/cable/unpowered/clock-stop physical injection required</x:v>
      </x:c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  <x:tableParts count="1">
    <x:tablePart xmlns:r="http://schemas.openxmlformats.org/officeDocument/2006/relationships" r:id="R9fc7fa8d17ef48e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38" hidden="0" customWidth="1"/>
    <x:col min="3" max="3" width="40" hidden="0" customWidth="1"/>
    <x:col min="4" max="4" width="46" hidden="0" customWidth="1"/>
    <x:col min="5" max="5" width="11" hidden="0" customWidth="1"/>
    <x:col min="6" max="6" width="12" hidden="0" customWidth="1"/>
    <x:col min="7" max="7" width="12" hidden="0" customWidth="1"/>
    <x:col min="8" max="8" width="70" hidden="0" customWidth="1"/>
    <x:col min="9" max="9" width="48" hidden="0" customWidth="1"/>
    <x:col min="10" max="10" width="22" hidden="0" customWidth="1"/>
    <x:col min="11" max="11" width="58" hidden="0" customWidth="1"/>
    <x:col min="12" max="12" width="28" hidden="0" customWidth="1"/>
    <x:col min="13" max="13" width="48" hidden="0" customWidth="1"/>
    <x:col min="14" max="14" width="26" hidden="0" customWidth="1"/>
    <x:col min="15" max="15" width="16" hidden="0" customWidth="1"/>
    <x:col min="16" max="16" width="9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>
      <x:c r="A2" s="9" t="str">
        <x:v>External - PROPOSED WORKING; ELECTRICAL HOLD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38" customHeight="1">
      <x:c r="A4" s="8" t="str">
        <x:v>ID</x:v>
      </x:c>
      <x:c r="B4" s="8" t="str">
        <x:v>MPN / family</x:v>
      </x:c>
      <x:c r="C4" s="8" t="str">
        <x:v>Description</x:v>
      </x:c>
      <x:c r="D4" s="8" t="str">
        <x:v>Package / pins</x:v>
      </x:c>
      <x:c r="E4" s="8" t="str">
        <x:v>Installed</x:v>
      </x:c>
      <x:c r="F4" s="8" t="str">
        <x:v>Spare fraction</x:v>
      </x:c>
      <x:c r="G4" s="8" t="str">
        <x:v>Planned qty</x:v>
      </x:c>
      <x:c r="H4" s="8" t="str">
        <x:v>References</x:v>
      </x:c>
      <x:c r="I4" s="8" t="str">
        <x:v>Supply / rating</x:v>
      </x:c>
      <x:c r="J4" s="8" t="str">
        <x:v>Current A (scope in risk)</x:v>
      </x:c>
      <x:c r="K4" s="8" t="str">
        <x:v>Source</x:v>
      </x:c>
      <x:c r="L4" s="8" t="str">
        <x:v>Supplier</x:v>
      </x:c>
      <x:c r="M4" s="8" t="str">
        <x:v>Approval</x:v>
      </x:c>
      <x:c r="N4" s="8" t="str">
        <x:v>Footprint verification</x:v>
      </x:c>
      <x:c r="O4" s="8" t="str">
        <x:v>Price CNY</x:v>
      </x:c>
      <x:c r="P4" s="8" t="str">
        <x:v>Alternative / required evidence</x:v>
      </x:c>
    </x:row>
    <x:row r="5" ht="76" customHeight="1">
      <x:c r="A5" s="7" t="str">
        <x:v>B-039</x:v>
      </x:c>
      <x:c r="B5" s="7" t="str">
        <x:v>XT30 2P线束 18AWG（线径TBD）</x:v>
      </x:c>
      <x:c r="C5" s="7" t="str">
        <x:v>上下独立电源线束</x:v>
      </x:c>
      <x:c r="D5" s="7" t="str">
        <x:v>外置; pins UNKNOWN</x:v>
      </x:c>
      <x:c r="E5" s="7" t="n">
        <x:v>2</x:v>
      </x:c>
      <x:c r="F5" s="10" t="n">
        <x:v>0.1</x:v>
      </x:c>
      <x:c r="G5" s="7" t="n">
        <x:f>ROUNDUP(E5*(1+F5),0)</x:f>
        <x:v>3</x:v>
      </x:c>
      <x:c r="H5" s="7" t="str">
        <x:v>EX_B039_001, EX_B039_002</x:v>
      </x:c>
      <x:c r="I5" s="7" t="str">
        <x:v>各板单独从外置供电装置接线</x:v>
      </x:c>
      <x:c r="J5" s="7" t="str">
        <x:v>UNKNOWN</x:v>
      </x:c>
      <x:c r="K5" s="7" t="str">
        <x:v>https://www.lcsc.com/custom-cable-assembly</x:v>
      </x:c>
      <x:c r="L5" s="7" t="str">
        <x:v>AUTHORIZED_VENDOR_NOT_SELECTED</x:v>
      </x:c>
      <x:c r="M5" s="7" t="str">
        <x:v>NOT_APPROVED_FOR_PROCUREMENT</x:v>
      </x:c>
      <x:c r="N5" s="7" t="str">
        <x:v>UNVERIFIED</x:v>
      </x:c>
      <x:c r="O5" s="7" t="str">
        <x:v>UNKNOWN</x:v>
      </x:c>
      <x:c r="P5" s="7" t="str">
        <x:v>Inherited candidate quantity; netlist/thermal review pending</x:v>
      </x:c>
    </x:row>
    <x:row r="6" ht="76" customHeight="1">
      <x:c r="A6" s="7" t="str">
        <x:v>B-041</x:v>
      </x:c>
      <x:c r="B6" s="7" t="str">
        <x:v>50芯IDC定长≤20cm仅初选</x:v>
      </x:c>
      <x:c r="C6" s="7" t="str">
        <x:v>上/下数字线束</x:v>
      </x:c>
      <x:c r="D6" s="7" t="str">
        <x:v>线束; pins UNKNOWN</x:v>
      </x:c>
      <x:c r="E6" s="7" t="n">
        <x:v>2</x:v>
      </x:c>
      <x:c r="F6" s="10" t="n">
        <x:v>0.1</x:v>
      </x:c>
      <x:c r="G6" s="7" t="n">
        <x:f>ROUNDUP(E6*(1+F6),0)</x:f>
        <x:v>3</x:v>
      </x:c>
      <x:c r="H6" s="7" t="str">
        <x:v>EX_B041_001, EX_B041_002</x:v>
      </x:c>
      <x:c r="I6" s="7" t="str">
        <x:v>每阵列1条；需屏蔽/回流/时序验证</x:v>
      </x:c>
      <x:c r="J6" s="7" t="str">
        <x:v>UNKNOWN</x:v>
      </x:c>
      <x:c r="K6" s="7" t="str">
        <x:v>https://www.lcsc.com/custom-cable-assembly</x:v>
      </x:c>
      <x:c r="L6" s="7" t="str">
        <x:v>AUTHORIZED_VENDOR_NOT_SELECTED</x:v>
      </x:c>
      <x:c r="M6" s="7" t="str">
        <x:v>NOT_APPROVED_FOR_PROCUREMENT</x:v>
      </x:c>
      <x:c r="N6" s="7" t="str">
        <x:v>UNVERIFIED</x:v>
      </x:c>
      <x:c r="O6" s="7" t="str">
        <x:v>UNKNOWN</x:v>
      </x:c>
      <x:c r="P6" s="7" t="str">
        <x:v>Inherited candidate quantity; netlist/thermal review pending</x:v>
      </x:c>
    </x:row>
    <x:row r="7" ht="76" customHeight="1">
      <x:c r="A7" s="7" t="str">
        <x:v>B-042</x:v>
      </x:c>
      <x:c r="B7" s="7" t="str">
        <x:v>屏蔽4对模拟线（独立专用）</x:v>
      </x:c>
      <x:c r="C7" s="7" t="str">
        <x:v>上/下RX信号线束</x:v>
      </x:c>
      <x:c r="D7" s="7" t="str">
        <x:v>线束; pins UNKNOWN</x:v>
      </x:c>
      <x:c r="E7" s="7" t="n">
        <x:v>2</x:v>
      </x:c>
      <x:c r="F7" s="10" t="n">
        <x:v>0.1</x:v>
      </x:c>
      <x:c r="G7" s="7" t="n">
        <x:f>ROUNDUP(E7*(1+F7),0)</x:f>
        <x:v>3</x:v>
      </x:c>
      <x:c r="H7" s="7" t="str">
        <x:v>EX_B042_001, EX_B042_002</x:v>
      </x:c>
      <x:c r="I7" s="7" t="str">
        <x:v>每阵列1条；建议远离TX与功率</x:v>
      </x:c>
      <x:c r="J7" s="7" t="str">
        <x:v>UNKNOWN</x:v>
      </x:c>
      <x:c r="K7" s="7" t="str">
        <x:v>https://www.lcsc.com/custom-cable-assembly</x:v>
      </x:c>
      <x:c r="L7" s="7" t="str">
        <x:v>AUTHORIZED_VENDOR_NOT_SELECTED</x:v>
      </x:c>
      <x:c r="M7" s="7" t="str">
        <x:v>NOT_APPROVED_FOR_PROCUREMENT</x:v>
      </x:c>
      <x:c r="N7" s="7" t="str">
        <x:v>UNVERIFIED</x:v>
      </x:c>
      <x:c r="O7" s="7" t="str">
        <x:v>UNKNOWN</x:v>
      </x:c>
      <x:c r="P7" s="7" t="str">
        <x:v>Inherited candidate quantity; netlist/thermal review pending</x:v>
      </x:c>
    </x:row>
    <x:row r="8" ht="76" customHeight="1">
      <x:c r="A8" s="7" t="str">
        <x:v>B-043</x:v>
      </x:c>
      <x:c r="B8" s="7" t="str">
        <x:v>J10/J11对应双40针连接（实板决定）</x:v>
      </x:c>
      <x:c r="C8" s="7" t="str">
        <x:v>AX7020到中央适配线束</x:v>
      </x:c>
      <x:c r="D8" s="7" t="str">
        <x:v>线束; pins UNKNOWN</x:v>
      </x:c>
      <x:c r="E8" s="7" t="n">
        <x:v>2</x:v>
      </x:c>
      <x:c r="F8" s="10" t="n">
        <x:v>0.1</x:v>
      </x:c>
      <x:c r="G8" s="7" t="n">
        <x:f>ROUNDUP(E8*(1+F8),0)</x:f>
        <x:v>3</x:v>
      </x:c>
      <x:c r="H8" s="7" t="str">
        <x:v>EX_B043_001, EX_B043_002</x:v>
      </x:c>
      <x:c r="I8" s="7" t="str">
        <x:v>连通PS/PL，无功率路径</x:v>
      </x:c>
      <x:c r="J8" s="7" t="str">
        <x:v>UNKNOWN</x:v>
      </x:c>
      <x:c r="K8" s="7" t="str">
        <x:v>https://www.alinx.com/public/upload/file/AX7020_UG.pdf</x:v>
      </x:c>
      <x:c r="L8" s="7" t="str">
        <x:v>AUTHORIZED_VENDOR_NOT_SELECTED</x:v>
      </x:c>
      <x:c r="M8" s="7" t="str">
        <x:v>NOT_APPROVED_FOR_PROCUREMENT</x:v>
      </x:c>
      <x:c r="N8" s="7" t="str">
        <x:v>UNVERIFIED</x:v>
      </x:c>
      <x:c r="O8" s="7" t="str">
        <x:v>UNKNOWN</x:v>
      </x:c>
      <x:c r="P8" s="7" t="str">
        <x:v>Inherited candidate quantity; netlist/thermal review pending</x:v>
      </x:c>
    </x:row>
    <x:row r="9" ht="76" customHeight="1">
      <x:c r="A9" s="7" t="str">
        <x:v>B-044</x:v>
      </x:c>
      <x:c r="B9" s="7" t="str">
        <x:v>12V 5A supply candidate (each)</x:v>
      </x:c>
      <x:c r="C9" s="7" t="str">
        <x:v>双路限流可调直流电源</x:v>
      </x:c>
      <x:c r="D9" s="7" t="str">
        <x:v>设备; pins UNKNOWN</x:v>
      </x:c>
      <x:c r="E9" s="7" t="n">
        <x:v>2</x:v>
      </x:c>
      <x:c r="F9" s="10" t="n">
        <x:v>0.1</x:v>
      </x:c>
      <x:c r="G9" s="7" t="n">
        <x:f>ROUNDUP(E9*(1+F9),0)</x:f>
        <x:v>3</x:v>
      </x:c>
      <x:c r="H9" s="7" t="str">
        <x:v>EX_B044_001, EX_B044_002</x:v>
      </x:c>
      <x:c r="I9" s="7" t="str">
        <x:v>两个阵列独立可断电、可调限流</x:v>
      </x:c>
      <x:c r="J9" s="7" t="str">
        <x:v>UNKNOWN</x:v>
      </x:c>
      <x:c r="K9" s="7" t="str">
        <x:v>https://www.meanwell.com/webapp/product/search.aspx?prod=GST120A</x:v>
      </x:c>
      <x:c r="L9" s="7" t="str">
        <x:v>AUTHORIZED_VENDOR_NOT_SELECTED</x:v>
      </x:c>
      <x:c r="M9" s="7" t="str">
        <x:v>NOT_APPROVED_FOR_PROCUREMENT</x:v>
      </x:c>
      <x:c r="N9" s="7" t="str">
        <x:v>UNVERIFIED</x:v>
      </x:c>
      <x:c r="O9" s="7" t="str">
        <x:v>UNKNOWN</x:v>
      </x:c>
      <x:c r="P9" s="7" t="str">
        <x:v>Two independent60W-rated sources;2A protection baseline unchanged, not60W load authorization</x:v>
      </x:c>
    </x:row>
    <x:row r="10" ht="76" customHeight="1">
      <x:c r="A10" s="7" t="str">
        <x:v>B-045</x:v>
      </x:c>
      <x:c r="B10" s="7" t="str">
        <x:v>ALINX规定DC 5V配件</x:v>
      </x:c>
      <x:c r="C10" s="7" t="str">
        <x:v>AX7020官方匹配电源适配器</x:v>
      </x:c>
      <x:c r="D10" s="7" t="str">
        <x:v>设备; pins UNKNOWN</x:v>
      </x:c>
      <x:c r="E10" s="7" t="n">
        <x:v>1</x:v>
      </x:c>
      <x:c r="F10" s="10" t="n">
        <x:v>0.1</x:v>
      </x:c>
      <x:c r="G10" s="7" t="n">
        <x:f>ROUNDUP(E10*(1+F10),0)</x:f>
        <x:v>2</x:v>
      </x:c>
      <x:c r="H10" s="7" t="str">
        <x:v>EX_B045_001</x:v>
      </x:c>
      <x:c r="I10" s="7" t="str">
        <x:v>主控保持其原厂供电，外部阵列不占板载供电</x:v>
      </x:c>
      <x:c r="J10" s="7" t="str">
        <x:v>UNKNOWN</x:v>
      </x:c>
      <x:c r="K10" s="7" t="str">
        <x:v>https://www.alinx.com/public/upload/file/AX7020_UG.pdf</x:v>
      </x:c>
      <x:c r="L10" s="7" t="str">
        <x:v>AUTHORIZED_VENDOR_NOT_SELECTED</x:v>
      </x:c>
      <x:c r="M10" s="7" t="str">
        <x:v>NOT_APPROVED_FOR_PROCUREMENT</x:v>
      </x:c>
      <x:c r="N10" s="7" t="str">
        <x:v>UNVERIFIED</x:v>
      </x:c>
      <x:c r="O10" s="7" t="str">
        <x:v>UNKNOWN</x:v>
      </x:c>
      <x:c r="P10" s="7" t="str">
        <x:v>Inherited candidate quantity; netlist/thermal review pending</x:v>
      </x:c>
    </x:row>
    <x:row r="11" ht="76" customHeight="1">
      <x:c r="A11" s="7" t="str">
        <x:v>B-072</x:v>
      </x:c>
      <x:c r="B11" s="7" t="str">
        <x:v>M3非磁性螺钉/尼龙柱/滑轨</x:v>
      </x:c>
      <x:c r="C11" s="7" t="str">
        <x:v>对置阵列固定件</x:v>
      </x:c>
      <x:c r="D11" s="7" t="str">
        <x:v>机械; pins UNKNOWN</x:v>
      </x:c>
      <x:c r="E11" s="7" t="n">
        <x:v>1</x:v>
      </x:c>
      <x:c r="F11" s="10" t="n">
        <x:v>0.1</x:v>
      </x:c>
      <x:c r="G11" s="7" t="n">
        <x:f>ROUNDUP(E11*(1+F11),0)</x:f>
        <x:v>2</x:v>
      </x:c>
      <x:c r="H11" s="7" t="str">
        <x:v>EX_B072_001</x:v>
      </x:c>
      <x:c r="I11" s="7" t="str">
        <x:v>上下间距90-115mm可调，名义100mm</x:v>
      </x:c>
      <x:c r="J11" s="7" t="str">
        <x:v>UNKNOWN</x:v>
      </x:c>
      <x:c r="K11" s="7" t="str">
        <x:v>https://github.com/loverlike1216/SonoField-FPGA/tree/main/v5</x:v>
      </x:c>
      <x:c r="L11" s="7" t="str">
        <x:v>AUTHORIZED_VENDOR_NOT_SELECTED</x:v>
      </x:c>
      <x:c r="M11" s="7" t="str">
        <x:v>NOT_APPROVED_FOR_PROCUREMENT</x:v>
      </x:c>
      <x:c r="N11" s="7" t="str">
        <x:v>UNVERIFIED</x:v>
      </x:c>
      <x:c r="O11" s="7" t="str">
        <x:v>UNKNOWN</x:v>
      </x:c>
      <x:c r="P11" s="7" t="str">
        <x:v>Inherited candidate quantity; netlist/thermal review pending</x:v>
      </x:c>
    </x:row>
    <x:row r="12" ht="76" customHeight="1">
      <x:c r="A12" s="7" t="str">
        <x:v>PC-004</x:v>
      </x:c>
      <x:c r="B12" s="7" t="str">
        <x:v>PART_SELECTION_HOLD</x:v>
      </x:c>
      <x:c r="C12" s="7" t="str">
        <x:v>NC emergency stop independent contact</x:v>
      </x:c>
      <x:c r="D12" s="7" t="str">
        <x:v>HOLD; pins UNKNOWN</x:v>
      </x:c>
      <x:c r="E12" s="7" t="n">
        <x:v>1</x:v>
      </x:c>
      <x:c r="F12" s="10" t="n">
        <x:v>0.1</x:v>
      </x:c>
      <x:c r="G12" s="7" t="n">
        <x:f>ROUNDUP(E12*(1+F12),0)</x:f>
        <x:v>2</x:v>
      </x:c>
      <x:c r="H12" s="7" t="str">
        <x:v>EX_PC004_001</x:v>
      </x:c>
      <x:c r="I12" s="7" t="str">
        <x:v>CANDIDATE_REVIEW_REQUIRED</x:v>
      </x:c>
      <x:c r="J12" s="7" t="str">
        <x:v>UNKNOWN</x:v>
      </x:c>
      <x:c r="K12" s="7" t="str">
        <x:v>USER_SAFETY_REQUIREMENT</x:v>
      </x:c>
      <x:c r="L12" s="7" t="str">
        <x:v>NOT_SELECTED</x:v>
      </x:c>
      <x:c r="M12" s="7" t="str">
        <x:v>NOT_APPROVED_FOR_PROCUREMENT</x:v>
      </x:c>
      <x:c r="N12" s="7" t="str">
        <x:v>UNVERIFIED</x:v>
      </x:c>
      <x:c r="O12" s="7" t="str">
        <x:v>UNKNOWN</x:v>
      </x:c>
      <x:c r="P12" s="7" t="str">
        <x:v>Electrical/thermal qualification HOLD</x:v>
      </x:c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  <x:tableParts count="1">
    <x:tablePart xmlns:r="http://schemas.openxmlformats.org/officeDocument/2006/relationships" r:id="Rd2cb434f2de543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85" hidden="0" customWidth="1"/>
    <x:col min="4" max="4" width="6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30" customHeight="1">
      <x:c r="A2" s="14" t="str">
        <x:v>Source</x:v>
      </x:c>
      <x:c r="B2" s="8" t="str">
        <x:v>Version / scope</x:v>
      </x:c>
      <x:c r="C2" s="8" t="str">
        <x:v>URL / provenance</x:v>
      </x:c>
      <x:c r="D2" s="8" t="str">
        <x:v>Release effect</x:v>
      </x:c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65" customHeight="1">
      <x:c r="A3" s="7" t="str">
        <x:v>ADC</x:v>
      </x:c>
      <x:c r="B3" s="7" t="str">
        <x:v>ADI Rev.A; Table9/23/26/38</x:v>
      </x:c>
      <x:c r="C3" s="7" t="str">
        <x:v>https://www.analog.com/media/en/technical-documentation/data-sheets/ad7606c-16.pdf</x:v>
      </x:c>
      <x:c r="D3" s="7" t="str">
        <x:v>Digital verified; physical HOLD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65" customHeight="1">
      <x:c r="A4" s="7" t="str">
        <x:v>TMP117</x:v>
      </x:c>
      <x:c r="B4" s="7" t="str">
        <x:v>TI Rev.D</x:v>
      </x:c>
      <x:c r="C4" s="7" t="str">
        <x:v>https://www.ti.com/lit/ds/symlink/tmp117.pdf</x:v>
      </x:c>
      <x:c r="D4" s="7" t="str">
        <x:v>3 addresses; ID/readiness; no CRC</x:v>
      </x:c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65" customHeight="1">
      <x:c r="A5" s="7" t="str">
        <x:v>NU40C</x:v>
      </x:c>
      <x:c r="B5" s="7" t="str">
        <x:v>User supplier images; hashes in VENDOR_PARAMETERS.json</x:v>
      </x:c>
      <x:c r="C5" s="7" t="str">
        <x:v>Private originals excluded from public repository</x:v>
      </x:c>
      <x:c r="D5" s="7" t="str">
        <x:v>T/R suffix and continuous rating HOLD</x:v>
      </x:c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65" customHeight="1">
      <x:c r="A6" s="7" t="str">
        <x:v>AX7020</x:v>
      </x:c>
      <x:c r="B6" s="7" t="str">
        <x:v>Official2023.1; Rev3 mismatch</x:v>
      </x:c>
      <x:c r="C6" s="7" t="str">
        <x:v>https://github.com/alinxalinx/AX7020_2023.1</x:v>
      </x:c>
      <x:c r="D6" s="7" t="str">
        <x:v>Pin/VCCO/power/DDR HOLD</x:v>
      </x:c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65" customHeight="1">
      <x:c r="A7" s="7" t="str">
        <x:v>Driver</x:v>
      </x:c>
      <x:c r="B7" s="7" t="str">
        <x:v>Microchip TC4427A</x:v>
      </x:c>
      <x:c r="C7" s="7" t="str">
        <x:v>https://www.microchip.com/en-us/product/TC4427A</x:v>
      </x:c>
      <x:c r="D7" s="7" t="str">
        <x:v>Load/thermal/protection HOLD</x:v>
      </x:c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65" customHeight="1">
      <x:c r="A8" s="7" t="str">
        <x:v>Baseline</x:v>
      </x:c>
      <x:c r="B8" s="7" t="str">
        <x:v>Canonical JSON hash in BOM_INPUTS.json</x:v>
      </x:c>
      <x:c r="C8" s="7" t="str">
        <x:v>v5/hardware/prepcb/bom_inputs.json</x:v>
      </x:c>
      <x:c r="D8" s="7" t="str">
        <x:v>Historical baseline preserved</x:v>
      </x:c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85" hidden="0" customWidth="1"/>
    <x:col min="4" max="4" width="60" hidden="0" customWidth="1"/>
  </x:cols>
  <x:sheetData>
    <x:row r="1">
      <x:c r="A1" s="6"/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30" customHeight="1">
      <x:c r="A2" s="14" t="str">
        <x:v>Decision</x:v>
      </x:c>
      <x:c r="B2" s="8" t="str">
        <x:v>Status</x:v>
      </x:c>
      <x:c r="C2" s="8" t="str">
        <x:v>Rationale / risk</x:v>
      </x:c>
      <x:c r="D2" s="8" t="str">
        <x:v>Approval boundary</x:v>
      </x:c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65" customHeight="1">
      <x:c r="A3" s="7" t="str">
        <x:v>AD7606C-16</x:v>
      </x:c>
      <x:c r="B3" s="7" t="str">
        <x:v>APPROVED DEVICE DIRECTION</x:v>
      </x:c>
      <x:c r="C3" s="7" t="str">
        <x:v>User explicit approval 2026-10-10; electrical HOLD</x:v>
      </x:c>
      <x:c r="D3" s="7" t="str">
        <x:v>No further device approval needed</x:v>
      </x:c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 ht="65" customHeight="1">
      <x:c r="A4" s="7" t="str">
        <x:v>RX full MPN</x:v>
      </x:c>
      <x:c r="B4" s="7" t="str">
        <x:v>PROPOSED HOLD</x:v>
      </x:c>
      <x:c r="C4" s="7" t="str">
        <x:v>R-2 exact ordering code not confirmed</x:v>
      </x:c>
      <x:c r="D4" s="7" t="str">
        <x:v>User/vendor confirmation</x:v>
      </x:c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</x:row>
    <x:row r="5" ht="65" customHeight="1">
      <x:c r="A5" s="7" t="str">
        <x:v>Array power</x:v>
      </x:c>
      <x:c r="B5" s="7" t="str">
        <x:v>PROPOSED HOLD</x:v>
      </x:c>
      <x:c r="C5" s="7" t="str">
        <x:v>Independent12V; cutoff/OE/watchdog/NC estop</x:v>
      </x:c>
      <x:c r="D5" s="7" t="str">
        <x:v>Electrical review and bench</x:v>
      </x:c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</x:row>
    <x:row r="6" ht="65" customHeight="1">
      <x:c r="A6" s="7" t="str">
        <x:v>Central power</x:v>
      </x:c>
      <x:c r="B6" s="7" t="str">
        <x:v>BLOCKED</x:v>
      </x:c>
      <x:c r="C6" s="7" t="str">
        <x:v>AX7020 only; current limit unknown</x:v>
      </x:c>
      <x:c r="D6" s="7" t="str">
        <x:v>Rev3 docs and measurement</x:v>
      </x:c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</x:row>
    <x:row r="7" ht="65" customHeight="1">
      <x:c r="A7" s="7" t="str">
        <x:v>Native CAD / manufacture</x:v>
      </x:c>
      <x:c r="B7" s="7" t="str">
        <x:v>BLOCKED / HOLD</x:v>
      </x:c>
      <x:c r="C7" s="7" t="str">
        <x:v>Machine contract only; ERC NOT_RUN</x:v>
      </x:c>
      <x:c r="D7" s="7" t="str">
        <x:v>CAD and electrical review; manufacture separate</x:v>
      </x:c>
      <x:c r="E7" s="6"/>
      <x:c r="F7" s="6"/>
      <x:c r="G7" s="6"/>
      <x:c r="H7" s="6"/>
      <x:c r="I7" s="6"/>
      <x:c r="J7" s="6"/>
      <x:c r="K7" s="6"/>
      <x:c r="L7" s="6"/>
      <x:c r="M7" s="6"/>
      <x:c r="N7" s="6"/>
      <x:c r="O7" s="6"/>
      <x:c r="P7" s="6"/>
    </x:row>
    <x:row r="8" ht="65" customHeight="1">
      <x:c r="A8" s="7" t="str">
        <x:v>Main merge</x:v>
      </x:c>
      <x:c r="B8" s="7" t="str">
        <x:v>PENDING</x:v>
      </x:c>
      <x:c r="C8" s="7" t="str">
        <x:v>Stacked Draft PR; no automatic merge</x:v>
      </x:c>
      <x:c r="D8" s="7" t="str">
        <x:v>User review of concrete candidate</x:v>
      </x:c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</x:row>
    <x:row r="9">
      <x:c r="A9" s="6"/>
      <x:c r="B9" s="6"/>
      <x:c r="C9" s="6"/>
      <x:c r="D9" s="6"/>
      <x:c r="E9" s="6"/>
      <x:c r="F9" s="6"/>
      <x:c r="G9" s="6"/>
      <x:c r="H9" s="6"/>
      <x:c r="I9" s="6"/>
      <x:c r="J9" s="6"/>
      <x:c r="K9" s="6"/>
      <x:c r="L9" s="6"/>
      <x:c r="M9" s="6"/>
      <x:c r="N9" s="6"/>
      <x:c r="O9" s="6"/>
      <x:c r="P9" s="6"/>
    </x:row>
    <x:row r="10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</x:row>
    <x:row r="11">
      <x:c r="A11" s="6"/>
      <x:c r="B11" s="6"/>
      <x:c r="C11" s="6"/>
      <x:c r="D11" s="6"/>
      <x:c r="E11" s="6"/>
      <x:c r="F11" s="6"/>
      <x:c r="G11" s="6"/>
      <x:c r="H11" s="6"/>
      <x:c r="I11" s="6"/>
      <x:c r="J11" s="6"/>
      <x:c r="K11" s="6"/>
      <x:c r="L11" s="6"/>
      <x:c r="M11" s="6"/>
      <x:c r="N11" s="6"/>
      <x:c r="O11" s="6"/>
      <x:c r="P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  <x:c r="K17" s="6"/>
      <x:c r="L17" s="6"/>
      <x:c r="M17" s="6"/>
      <x:c r="N17" s="6"/>
      <x:c r="O17" s="6"/>
      <x:c r="P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  <x:c r="K19" s="6"/>
      <x:c r="L19" s="6"/>
      <x:c r="M19" s="6"/>
      <x:c r="N19" s="6"/>
      <x:c r="O19" s="6"/>
      <x:c r="P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  <x:c r="N21" s="6"/>
      <x:c r="O21" s="6"/>
      <x:c r="P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  <x:c r="M61" s="6"/>
      <x:c r="N61" s="6"/>
      <x:c r="O61" s="6"/>
      <x:c r="P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  <x:c r="K62" s="6"/>
      <x:c r="L62" s="6"/>
      <x:c r="M62" s="6"/>
      <x:c r="N62" s="6"/>
      <x:c r="O62" s="6"/>
      <x:c r="P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  <x:c r="K63" s="6"/>
      <x:c r="L63" s="6"/>
      <x:c r="M63" s="6"/>
      <x:c r="N63" s="6"/>
      <x:c r="O63" s="6"/>
      <x:c r="P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  <x:c r="K64" s="6"/>
      <x:c r="L64" s="6"/>
      <x:c r="M64" s="6"/>
      <x:c r="N64" s="6"/>
      <x:c r="O64" s="6"/>
      <x:c r="P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  <x:c r="K65" s="6"/>
      <x:c r="L65" s="6"/>
      <x:c r="M65" s="6"/>
      <x:c r="N65" s="6"/>
      <x:c r="O65" s="6"/>
      <x:c r="P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  <x:c r="K66" s="6"/>
      <x:c r="L66" s="6"/>
      <x:c r="M66" s="6"/>
      <x:c r="N66" s="6"/>
      <x:c r="O66" s="6"/>
      <x:c r="P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  <x:c r="K67" s="6"/>
      <x:c r="L67" s="6"/>
      <x:c r="M67" s="6"/>
      <x:c r="N67" s="6"/>
      <x:c r="O67" s="6"/>
      <x:c r="P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  <x:c r="K68" s="6"/>
      <x:c r="L68" s="6"/>
      <x:c r="M68" s="6"/>
      <x:c r="N68" s="6"/>
      <x:c r="O68" s="6"/>
      <x:c r="P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  <x:c r="K69" s="6"/>
      <x:c r="L69" s="6"/>
      <x:c r="M69" s="6"/>
      <x:c r="N69" s="6"/>
      <x:c r="O69" s="6"/>
      <x:c r="P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  <x:c r="K70" s="6"/>
      <x:c r="L70" s="6"/>
      <x:c r="M70" s="6"/>
      <x:c r="N70" s="6"/>
      <x:c r="O70" s="6"/>
      <x:c r="P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  <x:c r="K71" s="6"/>
      <x:c r="L71" s="6"/>
      <x:c r="M71" s="6"/>
      <x:c r="N71" s="6"/>
      <x:c r="O71" s="6"/>
      <x:c r="P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  <x:c r="K73" s="6"/>
      <x:c r="L73" s="6"/>
      <x:c r="M73" s="6"/>
      <x:c r="N73" s="6"/>
      <x:c r="O73" s="6"/>
      <x:c r="P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  <x:c r="K74" s="6"/>
      <x:c r="L74" s="6"/>
      <x:c r="M74" s="6"/>
      <x:c r="N74" s="6"/>
      <x:c r="O74" s="6"/>
      <x:c r="P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  <x:c r="K75" s="6"/>
      <x:c r="L75" s="6"/>
      <x:c r="M75" s="6"/>
      <x:c r="N75" s="6"/>
      <x:c r="O75" s="6"/>
      <x:c r="P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  <x:c r="K76" s="6"/>
      <x:c r="L76" s="6"/>
      <x:c r="M76" s="6"/>
      <x:c r="N76" s="6"/>
      <x:c r="O76" s="6"/>
      <x:c r="P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  <x:c r="K77" s="6"/>
      <x:c r="L77" s="6"/>
      <x:c r="M77" s="6"/>
      <x:c r="N77" s="6"/>
      <x:c r="O77" s="6"/>
      <x:c r="P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  <x:c r="K79" s="6"/>
      <x:c r="L79" s="6"/>
      <x:c r="M79" s="6"/>
      <x:c r="N79" s="6"/>
      <x:c r="O79" s="6"/>
      <x:c r="P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  <x:c r="K80" s="6"/>
      <x:c r="L80" s="6"/>
      <x:c r="M80" s="6"/>
      <x:c r="N80" s="6"/>
      <x:c r="O80" s="6"/>
      <x:c r="P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  <x:c r="K81" s="6"/>
      <x:c r="L81" s="6"/>
      <x:c r="M81" s="6"/>
      <x:c r="N81" s="6"/>
      <x:c r="O81" s="6"/>
      <x:c r="P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  <x:c r="K82" s="6"/>
      <x:c r="L82" s="6"/>
      <x:c r="M82" s="6"/>
      <x:c r="N82" s="6"/>
      <x:c r="O82" s="6"/>
      <x:c r="P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  <x:c r="K83" s="6"/>
      <x:c r="L83" s="6"/>
      <x:c r="M83" s="6"/>
      <x:c r="N83" s="6"/>
      <x:c r="O83" s="6"/>
      <x:c r="P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  <x:c r="K85" s="6"/>
      <x:c r="L85" s="6"/>
      <x:c r="M85" s="6"/>
      <x:c r="N85" s="6"/>
      <x:c r="O85" s="6"/>
      <x:c r="P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  <x:c r="K86" s="6"/>
      <x:c r="L86" s="6"/>
      <x:c r="M86" s="6"/>
      <x:c r="N86" s="6"/>
      <x:c r="O86" s="6"/>
      <x:c r="P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  <x:c r="K88" s="6"/>
      <x:c r="L88" s="6"/>
      <x:c r="M88" s="6"/>
      <x:c r="N88" s="6"/>
      <x:c r="O88" s="6"/>
      <x:c r="P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  <x:c r="K89" s="6"/>
      <x:c r="L89" s="6"/>
      <x:c r="M89" s="6"/>
      <x:c r="N89" s="6"/>
      <x:c r="O89" s="6"/>
      <x:c r="P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  <x:c r="K90" s="6"/>
      <x:c r="L90" s="6"/>
      <x:c r="M90" s="6"/>
      <x:c r="N90" s="6"/>
      <x:c r="O90" s="6"/>
      <x:c r="P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  <x:c r="K91" s="6"/>
      <x:c r="L91" s="6"/>
      <x:c r="M91" s="6"/>
      <x:c r="N91" s="6"/>
      <x:c r="O91" s="6"/>
      <x:c r="P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  <x:c r="K92" s="6"/>
      <x:c r="L92" s="6"/>
      <x:c r="M92" s="6"/>
      <x:c r="N92" s="6"/>
      <x:c r="O92" s="6"/>
      <x:c r="P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  <x:c r="K94" s="6"/>
      <x:c r="L94" s="6"/>
      <x:c r="M94" s="6"/>
      <x:c r="N94" s="6"/>
      <x:c r="O94" s="6"/>
      <x:c r="P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  <x:c r="K95" s="6"/>
      <x:c r="L95" s="6"/>
      <x:c r="M95" s="6"/>
      <x:c r="N95" s="6"/>
      <x:c r="O95" s="6"/>
      <x:c r="P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  <x:c r="K96" s="6"/>
      <x:c r="L96" s="6"/>
      <x:c r="M96" s="6"/>
      <x:c r="N96" s="6"/>
      <x:c r="O96" s="6"/>
      <x:c r="P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  <x:c r="K97" s="6"/>
      <x:c r="L97" s="6"/>
      <x:c r="M97" s="6"/>
      <x:c r="N97" s="6"/>
      <x:c r="O97" s="6"/>
      <x:c r="P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  <x:c r="K98" s="6"/>
      <x:c r="L98" s="6"/>
      <x:c r="M98" s="6"/>
      <x:c r="N98" s="6"/>
      <x:c r="O98" s="6"/>
      <x:c r="P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  <x:c r="K100" s="6"/>
      <x:c r="L100" s="6"/>
      <x:c r="M100" s="6"/>
      <x:c r="N100" s="6"/>
      <x:c r="O100" s="6"/>
      <x:c r="P100" s="6"/>
    </x:row>
  </x:sheetData>
  <x:pageMargins left="0.7" right="0.7" top="0.75" bottom="0.75" header="0.3" footer="0.3"/>
</x:worksheet>
</file>